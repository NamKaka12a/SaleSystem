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comments9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vmlDrawing2.vml" ContentType="application/vnd.openxmlformats-officedocument.vmlDrawing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media/image1.png" ContentType="image/p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line" sheetId="1" state="visible" r:id="rId3"/>
    <sheet name="Cover" sheetId="2" state="visible" r:id="rId4"/>
    <sheet name="Functions" sheetId="3" state="visible" r:id="rId5"/>
    <sheet name="Statistics" sheetId="4" state="visible" r:id="rId6"/>
    <sheet name="Function1" sheetId="5" state="visible" r:id="rId7"/>
    <sheet name="Function2" sheetId="6" state="visible" r:id="rId8"/>
    <sheet name="Function3" sheetId="7" state="visible" r:id="rId9"/>
    <sheet name="Function4" sheetId="8" state="visible" r:id="rId10"/>
    <sheet name="Function5" sheetId="9" state="visible" r:id="rId11"/>
    <sheet name="Example" sheetId="10" state="visible" r:id="rId12"/>
  </sheets>
  <definedNames>
    <definedName function="false" hidden="false" localSheetId="4" name="_xlnm.Print_Area" vbProcedure="false">Function1!$A$1:$T$53</definedName>
    <definedName function="false" hidden="false" localSheetId="5" name="_xlnm.Print_Area" vbProcedure="false">Function2!$A$1:$T$52</definedName>
    <definedName function="false" hidden="false" localSheetId="6" name="_xlnm.Print_Area" vbProcedure="false">Function3!$A$1:$T$53</definedName>
    <definedName function="false" hidden="false" localSheetId="2" name="_xlnm.Print_Area" vbProcedure="false">Functions!$A$1:$H$39</definedName>
    <definedName function="false" hidden="false" localSheetId="0" name="_xlnm.Print_Area" vbProcedure="false">Guideline!$A$1:$A$48</definedName>
    <definedName function="false" hidden="false" localSheetId="3" name="_xlnm.Print_Area" vbProcedure="false">Statistics!$A$1:$I$41</definedName>
    <definedName function="false" hidden="false" name="ACTION" vbProcedure="false">#REF!</definedName>
    <definedName function="false" hidden="false" localSheetId="3" name="Z_2C0D9096_8D85_462A_A9B5_0B488ADB4269__wvu_PrintArea" vbProcedure="false">Statistics!$A:$I</definedName>
    <definedName function="false" hidden="false" localSheetId="3" name="Z_6F1DCD5D_5DAC_4817_BF40_2B66F6F593E6__wvu_PrintArea" vbProcedure="false">Statistics!$A:$I</definedName>
    <definedName function="false" hidden="false" localSheetId="3" name="Z_BE54E0AD_3725_4423_92D7_4F1C045BE1BC__wvu_PrintArea" vbProcedure="false">Statistics!$A:$I</definedName>
    <definedName function="false" hidden="false" localSheetId="4" name="Z_2C0D9096_8D85_462A_A9B5_0B488ADB4269__wvu_Cols" vbProcedure="false">'function 1'!$e:$e</definedName>
    <definedName function="false" hidden="false" localSheetId="4" name="Z_6F1DCD5D_5DAC_4817_BF40_2B66F6F593E6__wvu_Cols" vbProcedure="false">'function 1'!$e:$e</definedName>
    <definedName function="false" hidden="false" localSheetId="4" name="Z_BE54E0AD_3725_4423_92D7_4F1C045BE1BC__wvu_Cols" vbProcedure="false">'function 1'!$e:$e</definedName>
    <definedName function="false" hidden="false" localSheetId="5" name="Z_2C0D9096_8D85_462A_A9B5_0B488ADB4269__wvu_Cols" vbProcedure="false">'function 2'!$e:$e</definedName>
    <definedName function="false" hidden="false" localSheetId="5" name="Z_6F1DCD5D_5DAC_4817_BF40_2B66F6F593E6__wvu_Cols" vbProcedure="false">'function 2'!$e:$e</definedName>
    <definedName function="false" hidden="false" localSheetId="5" name="Z_BE54E0AD_3725_4423_92D7_4F1C045BE1BC__wvu_Cols" vbProcedure="false">'function 2'!$e:$e</definedName>
    <definedName function="false" hidden="false" localSheetId="6" name="Z_2C0D9096_8D85_462A_A9B5_0B488ADB4269__wvu_Cols" vbProcedure="false">Function3!$E:$E</definedName>
    <definedName function="false" hidden="false" localSheetId="6" name="Z_6F1DCD5D_5DAC_4817_BF40_2B66F6F593E6__wvu_Cols" vbProcedure="false">Function3!$E:$E</definedName>
    <definedName function="false" hidden="false" localSheetId="6" name="Z_BE54E0AD_3725_4423_92D7_4F1C045BE1BC__wvu_Cols" vbProcedure="false">Function3!$E:$E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0" authorId="0">
      <text>
        <r>
          <rPr>
            <sz val="10"/>
            <rFont val="Arial"/>
            <family val="2"/>
          </rPr>
          <t xml:space="preserve">*A: Add
  M: Modify
  D: Delete
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Arial"/>
            <family val="2"/>
          </rPr>
          <t xml:space="preserve">Not mandatory
</t>
        </r>
      </text>
    </comment>
    <comment ref="C10" authorId="0">
      <text>
        <r>
          <rPr>
            <sz val="10"/>
            <rFont val="Arial"/>
            <family val="2"/>
          </rPr>
          <t xml:space="preserve">Not mandatory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Arial"/>
            <family val="2"/>
          </rPr>
          <t xml:space="preserve">
Not mandatory
</t>
        </r>
      </text>
    </comment>
    <comment ref="C10" authorId="0">
      <text>
        <r>
          <rPr>
            <sz val="10"/>
            <rFont val="Arial"/>
            <family val="2"/>
          </rPr>
          <t xml:space="preserve">
Not mandatory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Arial"/>
            <family val="2"/>
          </rPr>
          <t xml:space="preserve">
Not mandatory
</t>
        </r>
      </text>
    </comment>
    <comment ref="C10" authorId="0">
      <text>
        <r>
          <rPr>
            <sz val="10"/>
            <rFont val="Arial"/>
            <family val="2"/>
          </rPr>
          <t xml:space="preserve">Not mandatory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Arial"/>
            <family val="2"/>
          </rPr>
          <t xml:space="preserve">Not mandatory
</t>
        </r>
      </text>
    </comment>
    <comment ref="C10" authorId="0">
      <text>
        <r>
          <rPr>
            <sz val="10"/>
            <rFont val="Arial"/>
            <family val="2"/>
          </rPr>
          <t xml:space="preserve">Not mandatory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Arial"/>
            <family val="2"/>
          </rPr>
          <t xml:space="preserve">Not mandatory
</t>
        </r>
      </text>
    </comment>
    <comment ref="C10" authorId="0">
      <text>
        <r>
          <rPr>
            <sz val="10"/>
            <rFont val="Arial"/>
            <family val="2"/>
          </rPr>
          <t xml:space="preserve">Not mandatory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Arial"/>
            <family val="2"/>
          </rPr>
          <t xml:space="preserve">Not mandatory
</t>
        </r>
      </text>
    </comment>
    <comment ref="C10" authorId="0">
      <text>
        <r>
          <rPr>
            <sz val="10"/>
            <rFont val="Arial"/>
            <family val="2"/>
          </rPr>
          <t xml:space="preserve">
Not mandatory</t>
        </r>
      </text>
    </comment>
  </commentList>
</comments>
</file>

<file path=xl/sharedStrings.xml><?xml version="1.0" encoding="utf-8"?>
<sst xmlns="http://schemas.openxmlformats.org/spreadsheetml/2006/main" count="638" uniqueCount="224">
  <si>
    <t xml:space="preserve">Guideline to make and understand Unit Test Case</t>
  </si>
  <si>
    <t xml:space="preserve">1. Overview</t>
  </si>
  <si>
    <t xml:space="preserve"> - In the template, Unit test cases are based on functions. Each sheet presents test cases for one function.</t>
  </si>
  <si>
    <t xml:space="preserve"> - Cover: General information of the project and Unit Test cases</t>
  </si>
  <si>
    <t xml:space="preserve"> - FunctionList: The list of Classes and Functions in the document. 
     + To control that the number of Unit TC meets customer's requirement or the norm, user should fill value for  
     'Normal number of Test cases/KLOC'. </t>
  </si>
  <si>
    <t xml:space="preserve">     + Click on Function link to open the related Test cases of the function.  
     Note: You should create new Function sheet before creating the link</t>
  </si>
  <si>
    <t xml:space="preserve"> - Test Report: provive the overview results of Functions Unit test: Test coverage, Test successful coverage 
    (Summary, for normal/abnormal/boundary cases)</t>
  </si>
  <si>
    <t xml:space="preserve">     Note:  Should check the formula of "Sub Total" if you add more functions</t>
  </si>
  <si>
    <t xml:space="preserve">2. Content in Test function sheet</t>
  </si>
  <si>
    <t xml:space="preserve">2.1 Combination of test cases.</t>
  </si>
  <si>
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</si>
  <si>
    <t xml:space="preserve"> - If the number of Unit TC does not meet the requirement, creator should explain the reasons.</t>
  </si>
  <si>
    <t xml:space="preserve"> - If the number of  'Normal number test cases/KLOC' item in FunctionList sheet is not recorded, the number in 'Lack of test cases' is not calculated.</t>
  </si>
  <si>
    <t xml:space="preserve"> 2.2 Condition and confirmation of Test cases.</t>
  </si>
  <si>
    <t xml:space="preserve"> Each test case is the combination of condition and confirmation.</t>
  </si>
  <si>
    <t xml:space="preserve">a. Condition:</t>
  </si>
  <si>
    <t xml:space="preserve">        - Condition is combination of precondition and values of inputs.</t>
  </si>
  <si>
    <t xml:space="preserve">        - Precondition: it is setting condition that must exist before execution of the test case. 
                    Example: file A is precondition for the test case that needs to access file A.</t>
  </si>
  <si>
    <t xml:space="preserve">        - Values of inputs: it includes 3 types of values: normal, boundary and abnormal.</t>
  </si>
  <si>
    <t xml:space="preserve">                . Normal values are values of inputs used mainly and usually to ensure the function works.</t>
  </si>
  <si>
    <t xml:space="preserve">                . Boundary values are limited values that contain upper and lower values.</t>
  </si>
  <si>
    <t xml:space="preserve">                . Abnormal values are non-expected values. And normally it processes exception cases.   </t>
  </si>
  <si>
    <t xml:space="preserve"> </t>
  </si>
  <si>
    <t xml:space="preserve">        - For examples:</t>
  </si>
  <si>
    <t xml:space="preserve">            Input value belongs to 5&lt;= input &lt;=10.</t>
  </si>
  <si>
    <t xml:space="preserve">               . 6,7,8,9 are normal values.</t>
  </si>
  <si>
    <t xml:space="preserve">               . 5, 10 are boundary values.</t>
  </si>
  <si>
    <t xml:space="preserve">               . -1, 11,... are abnormal values.   </t>
  </si>
  <si>
    <t xml:space="preserve">b. Confirmation: </t>
  </si>
  <si>
    <t xml:space="preserve">        - It is combination of expected result to check output of each function. 
          If the results are the same with confirmation, the test case is passed, other case it is failed. </t>
  </si>
  <si>
    <t xml:space="preserve">        - Confirmation can include:</t>
  </si>
  <si>
    <t xml:space="preserve">                + Output result of the function.</t>
  </si>
  <si>
    <t xml:space="preserve">                + Output log messages in log file.</t>
  </si>
  <si>
    <t xml:space="preserve">                + Output screen message...</t>
  </si>
  <si>
    <t xml:space="preserve">c. Type of test cases and result:</t>
  </si>
  <si>
    <t xml:space="preserve">        - Type of test case: It includes normal, boundary and abnormal test cases. User selects the type based on the type of input data.</t>
  </si>
  <si>
    <t xml:space="preserve">        - Test case result: the actual output results comparing with the Confirmation.
                 P for Passed and F for Failed cases.
          It can 'OK' or 'NG' (it depends on habit of the teams or customers)</t>
  </si>
  <si>
    <t xml:space="preserve"> 2.3. Other items:</t>
  </si>
  <si>
    <t xml:space="preserve"> - Function Code: it is ID of the function and updated automatically according to FunctionList sheet.</t>
  </si>
  <si>
    <t xml:space="preserve"> - Function Name: it is name  of the function and updated automatically according to FunctionList sheet.</t>
  </si>
  <si>
    <t xml:space="preserve"> - Created By: Name of creator.</t>
  </si>
  <si>
    <t xml:space="preserve"> - Executed By: Name of person who executes the unit test</t>
  </si>
  <si>
    <t xml:space="preserve"> - Lines of code: Number of Code line of the function.</t>
  </si>
  <si>
    <t xml:space="preserve"> - Test requirement: Brief description about requirements which are tested in this function, it is not mandatory.</t>
  </si>
  <si>
    <t xml:space="preserve">         </t>
  </si>
  <si>
    <t xml:space="preserve">UNIT TEST DOCUMENT</t>
  </si>
  <si>
    <t xml:space="preserve">Project Name</t>
  </si>
  <si>
    <t xml:space="preserve">Sales Management System</t>
  </si>
  <si>
    <t xml:space="preserve">Creator</t>
  </si>
  <si>
    <t xml:space="preserve">Nam (DE200481)</t>
  </si>
  <si>
    <t xml:space="preserve">Project Code</t>
  </si>
  <si>
    <t xml:space="preserve">SALES</t>
  </si>
  <si>
    <t xml:space="preserve">Issue Date</t>
  </si>
  <si>
    <t xml:space="preserve">Document Code</t>
  </si>
  <si>
    <t xml:space="preserve">Version</t>
  </si>
  <si>
    <t xml:space="preserve">1.0</t>
  </si>
  <si>
    <t xml:space="preserve">Record of change</t>
  </si>
  <si>
    <t xml:space="preserve">Effective Date</t>
  </si>
  <si>
    <t xml:space="preserve">Change Item</t>
  </si>
  <si>
    <t xml:space="preserve">*A,D,M</t>
  </si>
  <si>
    <t xml:space="preserve">Change description</t>
  </si>
  <si>
    <t xml:space="preserve">Reference</t>
  </si>
  <si>
    <t xml:space="preserve">All</t>
  </si>
  <si>
    <t xml:space="preserve">A</t>
  </si>
  <si>
    <t xml:space="preserve">First version: unit tests for SalesService; 5 defects found and fixed</t>
  </si>
  <si>
    <t xml:space="preserve">Thuc hanh Unit Test - Java + JUnit 5 (handout)</t>
  </si>
  <si>
    <t xml:space="preserve">Function List</t>
  </si>
  <si>
    <t xml:space="preserve">Normal number of Test cases/KLOC </t>
  </si>
  <si>
    <t xml:space="preserve">Test Environment Setup Description</t>
  </si>
  <si>
    <t xml:space="preserve">1. OS: Windows 10/11
2. JDK 17 (Temurin)
3. Apache Maven 3.9+
4. JUnit 5.10.2, JaCoCo 0.8.12
5. IDE: NetBeans / IntelliJ (no server or database needed)</t>
  </si>
  <si>
    <t xml:space="preserve">No</t>
  </si>
  <si>
    <t xml:space="preserve">Requirement
Name</t>
  </si>
  <si>
    <t xml:space="preserve">Class Name</t>
  </si>
  <si>
    <t xml:space="preserve">Function Name</t>
  </si>
  <si>
    <t xml:space="preserve"> Function Code(Optional)</t>
  </si>
  <si>
    <t xml:space="preserve">Sheet Name</t>
  </si>
  <si>
    <t xml:space="preserve">Description</t>
  </si>
  <si>
    <t xml:space="preserve">Pre-Condition</t>
  </si>
  <si>
    <t xml:space="preserve">Subtotal</t>
  </si>
  <si>
    <t xml:space="preserve">SalesService</t>
  </si>
  <si>
    <t xml:space="preserve">calculateSubtotal(Product p)</t>
  </si>
  <si>
    <t xml:space="preserve">Function1</t>
  </si>
  <si>
    <t xml:space="preserve">Subtotal = price x quantity; throws IllegalArgumentException if product is null</t>
  </si>
  <si>
    <t xml:space="preserve">new SalesService()</t>
  </si>
  <si>
    <t xml:space="preserve">Discount</t>
  </si>
  <si>
    <t xml:space="preserve">calculateDiscount(double subtotal)</t>
  </si>
  <si>
    <t xml:space="preserve">Function2</t>
  </si>
  <si>
    <t xml:space="preserve">0% (&lt;1,000), 5% (1,000-&lt;5,000), 10% (5,000-&lt;10,000), 15% (&gt;=10,000); negative subtotal throws IAE</t>
  </si>
  <si>
    <t xml:space="preserve">Shipping</t>
  </si>
  <si>
    <t xml:space="preserve">calculateShippingFee(double subtotal)</t>
  </si>
  <si>
    <t xml:space="preserve">Function3</t>
  </si>
  <si>
    <t xml:space="preserve">50 if subtotal &lt; 2,000, otherwise 0; negative subtotal throws IAE</t>
  </si>
  <si>
    <t xml:space="preserve">Total</t>
  </si>
  <si>
    <t xml:space="preserve">calculateTotal(Product p)</t>
  </si>
  <si>
    <t xml:space="preserve">Function4</t>
  </si>
  <si>
    <t xml:space="preserve">Total = Subtotal - Discount + Shipping; null product throws IAE</t>
  </si>
  <si>
    <t xml:space="preserve">Customer type</t>
  </si>
  <si>
    <t xml:space="preserve">classifyCustomer(double total)</t>
  </si>
  <si>
    <t xml:space="preserve">Function5</t>
  </si>
  <si>
    <t xml:space="preserve">REGULAR (&lt;1,000), SILVER (1,000-&lt;5,000), GOLD (5,000-&lt;10,000), VIP (&gt;=10,000)</t>
  </si>
  <si>
    <t xml:space="preserve">UNIT TEST REPORT</t>
  </si>
  <si>
    <t xml:space="preserve">Reviewer/Approver</t>
  </si>
  <si>
    <t xml:space="preserve">Notes</t>
  </si>
  <si>
    <t xml:space="preserve">Release 1 includes 1 class: SalesService (5 methods). Final results after fixing defects B01-B05.</t>
  </si>
  <si>
    <t xml:space="preserve">Function code</t>
  </si>
  <si>
    <t xml:space="preserve">Passed</t>
  </si>
  <si>
    <t xml:space="preserve">Failed</t>
  </si>
  <si>
    <t xml:space="preserve">Untested</t>
  </si>
  <si>
    <t xml:space="preserve">N</t>
  </si>
  <si>
    <t xml:space="preserve">B</t>
  </si>
  <si>
    <t xml:space="preserve">Total Test Cases</t>
  </si>
  <si>
    <t xml:space="preserve">Sub total</t>
  </si>
  <si>
    <t xml:space="preserve">Test coverage</t>
  </si>
  <si>
    <t xml:space="preserve">%</t>
  </si>
  <si>
    <t xml:space="preserve">Test successful coverage</t>
  </si>
  <si>
    <t xml:space="preserve">Normal case</t>
  </si>
  <si>
    <t xml:space="preserve">Abnormal case</t>
  </si>
  <si>
    <t xml:space="preserve">Boundary case</t>
  </si>
  <si>
    <t xml:space="preserve">Function Code</t>
  </si>
  <si>
    <t xml:space="preserve">Created By</t>
  </si>
  <si>
    <t xml:space="preserve">Executed By</t>
  </si>
  <si>
    <t xml:space="preserve">Lines  of code</t>
  </si>
  <si>
    <t xml:space="preserve">Lack of test cases</t>
  </si>
  <si>
    <t xml:space="preserve">Test requirement</t>
  </si>
  <si>
    <t xml:space="preserve">N/A/B</t>
  </si>
  <si>
    <t xml:space="preserve">S01</t>
  </si>
  <si>
    <t xml:space="preserve">S02</t>
  </si>
  <si>
    <t xml:space="preserve">S03</t>
  </si>
  <si>
    <t xml:space="preserve">S04</t>
  </si>
  <si>
    <t xml:space="preserve">S05</t>
  </si>
  <si>
    <t xml:space="preserve">Condition</t>
  </si>
  <si>
    <t xml:space="preserve">Precondition</t>
  </si>
  <si>
    <t xml:space="preserve">SalesService object created (new SalesService()); JDK 17, JUnit 5</t>
  </si>
  <si>
    <t xml:space="preserve">price</t>
  </si>
  <si>
    <t xml:space="preserve">O</t>
  </si>
  <si>
    <t xml:space="preserve">quantity</t>
  </si>
  <si>
    <t xml:space="preserve">Product</t>
  </si>
  <si>
    <t xml:space="preserve">null</t>
  </si>
  <si>
    <t xml:space="preserve">Confirm</t>
  </si>
  <si>
    <t xml:space="preserve">Return</t>
  </si>
  <si>
    <t xml:space="preserve">Exception</t>
  </si>
  <si>
    <t xml:space="preserve">IllegalArgumentException</t>
  </si>
  <si>
    <t xml:space="preserve">Log message</t>
  </si>
  <si>
    <t xml:space="preserve">"Product cannot be null"</t>
  </si>
  <si>
    <t xml:space="preserve">Result</t>
  </si>
  <si>
    <t xml:space="preserve">Type(N : Normal, A : Abnormal, B : Boundary)</t>
  </si>
  <si>
    <t xml:space="preserve">Passed/Failed</t>
  </si>
  <si>
    <t xml:space="preserve">P</t>
  </si>
  <si>
    <t xml:space="preserve">Executed Date</t>
  </si>
  <si>
    <t xml:space="preserve">Defect ID (found before fix)</t>
  </si>
  <si>
    <t xml:space="preserve">B01</t>
  </si>
  <si>
    <t xml:space="preserve">D01</t>
  </si>
  <si>
    <t xml:space="preserve">D02</t>
  </si>
  <si>
    <t xml:space="preserve">D03</t>
  </si>
  <si>
    <t xml:space="preserve">D04</t>
  </si>
  <si>
    <t xml:space="preserve">D05</t>
  </si>
  <si>
    <t xml:space="preserve">D06</t>
  </si>
  <si>
    <t xml:space="preserve">D07</t>
  </si>
  <si>
    <t xml:space="preserve">D08</t>
  </si>
  <si>
    <t xml:space="preserve">D09</t>
  </si>
  <si>
    <t xml:space="preserve">D10</t>
  </si>
  <si>
    <t xml:space="preserve">D11</t>
  </si>
  <si>
    <t xml:space="preserve">D12</t>
  </si>
  <si>
    <t xml:space="preserve">D13</t>
  </si>
  <si>
    <t xml:space="preserve">subtotal</t>
  </si>
  <si>
    <t xml:space="preserve">"Subtotal cannot be negative"</t>
  </si>
  <si>
    <t xml:space="preserve">B02</t>
  </si>
  <si>
    <t xml:space="preserve">H01</t>
  </si>
  <si>
    <t xml:space="preserve">H02</t>
  </si>
  <si>
    <t xml:space="preserve">H03</t>
  </si>
  <si>
    <t xml:space="preserve">H04</t>
  </si>
  <si>
    <t xml:space="preserve">H05</t>
  </si>
  <si>
    <t xml:space="preserve">H06</t>
  </si>
  <si>
    <t xml:space="preserve">H07</t>
  </si>
  <si>
    <t xml:space="preserve">B03</t>
  </si>
  <si>
    <t xml:space="preserve">T01</t>
  </si>
  <si>
    <t xml:space="preserve">T02</t>
  </si>
  <si>
    <t xml:space="preserve">T03</t>
  </si>
  <si>
    <t xml:space="preserve">T04</t>
  </si>
  <si>
    <t xml:space="preserve">T05</t>
  </si>
  <si>
    <t xml:space="preserve">T06</t>
  </si>
  <si>
    <t xml:space="preserve">T07</t>
  </si>
  <si>
    <t xml:space="preserve">B01, B04</t>
  </si>
  <si>
    <t xml:space="preserve">C01</t>
  </si>
  <si>
    <t xml:space="preserve">C02</t>
  </si>
  <si>
    <t xml:space="preserve">C03</t>
  </si>
  <si>
    <t xml:space="preserve">C04</t>
  </si>
  <si>
    <t xml:space="preserve">C05</t>
  </si>
  <si>
    <t xml:space="preserve">C06</t>
  </si>
  <si>
    <t xml:space="preserve">C07</t>
  </si>
  <si>
    <t xml:space="preserve">C08</t>
  </si>
  <si>
    <t xml:space="preserve">C09</t>
  </si>
  <si>
    <t xml:space="preserve">C10</t>
  </si>
  <si>
    <t xml:space="preserve">total</t>
  </si>
  <si>
    <t xml:space="preserve">REGULAR</t>
  </si>
  <si>
    <t xml:space="preserve">SILVER</t>
  </si>
  <si>
    <t xml:space="preserve">GOLD</t>
  </si>
  <si>
    <t xml:space="preserve">VIP</t>
  </si>
  <si>
    <t xml:space="preserve">(none)</t>
  </si>
  <si>
    <t xml:space="preserve">B05</t>
  </si>
  <si>
    <t xml:space="preserve">&lt;Developer Name&gt;</t>
  </si>
  <si>
    <t xml:space="preserve">&lt;Brief description about requirements which are tested in this function&gt;</t>
  </si>
  <si>
    <t xml:space="preserve">UTCID01</t>
  </si>
  <si>
    <t xml:space="preserve">UTCID02</t>
  </si>
  <si>
    <t xml:space="preserve">UTCID07</t>
  </si>
  <si>
    <t xml:space="preserve">UTCID08</t>
  </si>
  <si>
    <t xml:space="preserve">UTCID09</t>
  </si>
  <si>
    <t xml:space="preserve">UTCID10</t>
  </si>
  <si>
    <t xml:space="preserve">UTCID11</t>
  </si>
  <si>
    <t xml:space="preserve">UTCID12</t>
  </si>
  <si>
    <t xml:space="preserve">UTCID13</t>
  </si>
  <si>
    <t xml:space="preserve">UTCID14</t>
  </si>
  <si>
    <t xml:space="preserve">UTCID15</t>
  </si>
  <si>
    <t xml:space="preserve">Precondition </t>
  </si>
  <si>
    <t xml:space="preserve">a</t>
  </si>
  <si>
    <t xml:space="preserve">b</t>
  </si>
  <si>
    <t xml:space="preserve">c</t>
  </si>
  <si>
    <t xml:space="preserve">list </t>
  </si>
  <si>
    <t xml:space="preserve">size = 0</t>
  </si>
  <si>
    <t xml:space="preserve">{-1/2}</t>
  </si>
  <si>
    <t xml:space="preserve">{1,1}</t>
  </si>
  <si>
    <t xml:space="preserve">{1,-3}</t>
  </si>
  <si>
    <t xml:space="preserve">"please input a&gt;= -1"</t>
  </si>
  <si>
    <t xml:space="preserve">Defect ID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</si>
</sst>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dd/mm/yyyy"/>
    <numFmt numFmtId="166" formatCode="d\-mmm\-yy;@"/>
    <numFmt numFmtId="167" formatCode="@"/>
    <numFmt numFmtId="168" formatCode="[$-409]d\-mmm\-yy"/>
    <numFmt numFmtId="169" formatCode="0"/>
    <numFmt numFmtId="170" formatCode="General"/>
    <numFmt numFmtId="171" formatCode="0.00%"/>
    <numFmt numFmtId="172" formatCode="0%"/>
    <numFmt numFmtId="173" formatCode="0.00"/>
    <numFmt numFmtId="174" formatCode="mm/dd"/>
  </numFmts>
  <fonts count="42">
    <font>
      <sz val="11"/>
      <name val="ＭＳ Ｐゴシック"/>
      <family val="3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ＭＳ ゴシック"/>
      <family val="3"/>
      <charset val="128"/>
    </font>
    <font>
      <sz val="11"/>
      <name val="Tahoma"/>
      <family val="2"/>
      <charset val="1"/>
    </font>
    <font>
      <b val="true"/>
      <sz val="18"/>
      <name val="Tahoma"/>
      <family val="2"/>
      <charset val="1"/>
    </font>
    <font>
      <b val="true"/>
      <sz val="11"/>
      <name val="Tahoma"/>
      <family val="2"/>
      <charset val="1"/>
    </font>
    <font>
      <b val="true"/>
      <sz val="12"/>
      <name val="Tahoma"/>
      <family val="2"/>
      <charset val="1"/>
    </font>
    <font>
      <b val="true"/>
      <sz val="14"/>
      <name val="Tahoma"/>
      <family val="2"/>
      <charset val="1"/>
    </font>
    <font>
      <sz val="10"/>
      <name val="Tahoma"/>
      <family val="2"/>
      <charset val="1"/>
    </font>
    <font>
      <i val="true"/>
      <sz val="10"/>
      <name val="Tahoma"/>
      <family val="2"/>
      <charset val="1"/>
    </font>
    <font>
      <i val="true"/>
      <sz val="11"/>
      <name val="Tahoma"/>
      <family val="2"/>
      <charset val="1"/>
    </font>
    <font>
      <sz val="10.5"/>
      <name val="Tahoma"/>
      <family val="2"/>
      <charset val="1"/>
    </font>
    <font>
      <b val="true"/>
      <sz val="10"/>
      <name val="Tahoma"/>
      <family val="2"/>
      <charset val="1"/>
    </font>
    <font>
      <b val="true"/>
      <sz val="26"/>
      <color rgb="FFFF0000"/>
      <name val="Tahoma"/>
      <family val="2"/>
      <charset val="1"/>
    </font>
    <font>
      <b val="true"/>
      <sz val="20"/>
      <color rgb="FF000000"/>
      <name val="Tahoma"/>
      <family val="2"/>
      <charset val="1"/>
    </font>
    <font>
      <b val="true"/>
      <sz val="10"/>
      <color rgb="FF993300"/>
      <name val="Tahoma"/>
      <family val="2"/>
      <charset val="1"/>
    </font>
    <font>
      <i val="true"/>
      <sz val="10"/>
      <color rgb="FF008000"/>
      <name val="Tahoma"/>
      <family val="2"/>
      <charset val="1"/>
    </font>
    <font>
      <b val="true"/>
      <sz val="10"/>
      <color rgb="FFFFFFFF"/>
      <name val="Tahoma"/>
      <family val="2"/>
      <charset val="1"/>
    </font>
    <font>
      <sz val="10"/>
      <name val="Arial"/>
      <family val="2"/>
    </font>
    <font>
      <b val="true"/>
      <sz val="10"/>
      <color rgb="FF000000"/>
      <name val="Tahoma"/>
      <family val="2"/>
      <charset val="1"/>
    </font>
    <font>
      <b val="true"/>
      <sz val="10"/>
      <color rgb="FFFF0000"/>
      <name val="Tahoma"/>
      <family val="2"/>
      <charset val="1"/>
    </font>
    <font>
      <u val="single"/>
      <sz val="10"/>
      <color rgb="FF0000FF"/>
      <name val="Tahoma"/>
      <family val="2"/>
      <charset val="1"/>
    </font>
    <font>
      <sz val="10"/>
      <color rgb="FFFFFFFF"/>
      <name val="Tahoma"/>
      <family val="2"/>
      <charset val="1"/>
    </font>
    <font>
      <b val="true"/>
      <sz val="11"/>
      <color rgb="FFFFFFFF"/>
      <name val="Tahoma"/>
      <family val="2"/>
      <charset val="1"/>
    </font>
    <font>
      <sz val="10"/>
      <color rgb="FF000000"/>
      <name val="Tahoma"/>
      <family val="2"/>
      <charset val="1"/>
    </font>
    <font>
      <b val="true"/>
      <sz val="9"/>
      <color rgb="FF000000"/>
      <name val="ＭＳ Ｐゴシック"/>
      <family val="2"/>
    </font>
    <font>
      <sz val="9"/>
      <color rgb="FF000000"/>
      <name val="ＭＳ Ｐゴシック"/>
      <family val="2"/>
    </font>
    <font>
      <sz val="6.9"/>
      <color rgb="FF000000"/>
      <name val="ＭＳ Ｐゴシック"/>
      <family val="2"/>
    </font>
    <font>
      <b val="true"/>
      <sz val="11"/>
      <color rgb="FF000000"/>
      <name val="ＭＳ Ｐゴシック"/>
      <family val="2"/>
    </font>
    <font>
      <sz val="11"/>
      <color rgb="FF000000"/>
      <name val="ＭＳ Ｐゴシック"/>
      <family val="2"/>
    </font>
    <font>
      <sz val="8.5"/>
      <color rgb="FF000000"/>
      <name val="ＭＳ Ｐゴシック"/>
      <family val="2"/>
    </font>
    <font>
      <sz val="8"/>
      <name val="Tahoma"/>
      <family val="2"/>
      <charset val="1"/>
    </font>
    <font>
      <b val="true"/>
      <sz val="8"/>
      <name val="Tahoma"/>
      <family val="2"/>
      <charset val="1"/>
    </font>
    <font>
      <i val="true"/>
      <sz val="8"/>
      <name val="Tahoma"/>
      <family val="2"/>
      <charset val="1"/>
    </font>
    <font>
      <b val="true"/>
      <sz val="8"/>
      <color rgb="FFFFFFFF"/>
      <name val="Tahoma"/>
      <family val="2"/>
      <charset val="1"/>
    </font>
    <font>
      <sz val="8"/>
      <color rgb="FFFFFFFF"/>
      <name val="Tahoma"/>
      <family val="2"/>
      <charset val="1"/>
    </font>
    <font>
      <sz val="8"/>
      <color rgb="FF008000"/>
      <name val="Tahoma"/>
      <family val="2"/>
      <charset val="1"/>
    </font>
    <font>
      <b val="true"/>
      <sz val="12"/>
      <name val="Courier New"/>
      <family val="3"/>
      <charset val="1"/>
    </font>
    <font>
      <b val="true"/>
      <sz val="8"/>
      <name val="Courier New"/>
      <family val="3"/>
      <charset val="1"/>
    </font>
    <font>
      <sz val="8"/>
      <name val="Courier New"/>
      <family val="3"/>
      <charset val="1"/>
    </font>
  </fonts>
  <fills count="7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003366"/>
      </patternFill>
    </fill>
    <fill>
      <patternFill patternType="solid">
        <fgColor rgb="FFFF9900"/>
        <bgColor rgb="FFFFCC00"/>
      </patternFill>
    </fill>
  </fills>
  <borders count="6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hair"/>
      <top style="thin"/>
      <bottom style="hair"/>
      <diagonal/>
    </border>
    <border diagonalUp="false" diagonalDown="false">
      <left style="hair"/>
      <right/>
      <top style="thin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/>
      <right style="hair"/>
      <top style="hair"/>
      <bottom style="thin"/>
      <diagonal/>
    </border>
    <border diagonalUp="false" diagonalDown="false">
      <left style="hair"/>
      <right style="medium"/>
      <top style="thin"/>
      <bottom style="hair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 style="double"/>
      <right style="hair"/>
      <top style="double"/>
      <bottom style="medium">
        <color rgb="FFFFFFFF"/>
      </bottom>
      <diagonal/>
    </border>
    <border diagonalUp="false" diagonalDown="false">
      <left/>
      <right/>
      <top style="double"/>
      <bottom style="medium">
        <color rgb="FFFFFFFF"/>
      </bottom>
      <diagonal/>
    </border>
    <border diagonalUp="false" diagonalDown="false">
      <left/>
      <right style="double"/>
      <top style="double"/>
      <bottom style="medium">
        <color rgb="FFFFFFFF"/>
      </bottom>
      <diagonal/>
    </border>
    <border diagonalUp="false" diagonalDown="false">
      <left style="double"/>
      <right style="thin"/>
      <top style="medium">
        <color rgb="FFFFFFFF"/>
      </top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double"/>
      <top/>
      <bottom style="thin"/>
      <diagonal/>
    </border>
    <border diagonalUp="false" diagonalDown="false">
      <left style="double"/>
      <right style="thin"/>
      <top/>
      <bottom/>
      <diagonal/>
    </border>
    <border diagonalUp="false" diagonalDown="false">
      <left style="thin"/>
      <right style="double"/>
      <top style="thin"/>
      <bottom style="thin"/>
      <diagonal/>
    </border>
    <border diagonalUp="false" diagonalDown="false">
      <left style="thin"/>
      <right style="thin"/>
      <top style="double"/>
      <bottom style="thin"/>
      <diagonal/>
    </border>
    <border diagonalUp="false" diagonalDown="false">
      <left style="thin"/>
      <right style="double"/>
      <top style="double"/>
      <bottom style="thin"/>
      <diagonal/>
    </border>
    <border diagonalUp="false" diagonalDown="false">
      <left style="double"/>
      <right style="thin"/>
      <top/>
      <bottom style="double"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thin"/>
      <right style="double"/>
      <top style="thin"/>
      <bottom style="double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double"/>
      <right/>
      <top style="double"/>
      <bottom/>
      <diagonal/>
    </border>
    <border diagonalUp="false" diagonalDown="false">
      <left/>
      <right/>
      <top style="double"/>
      <bottom style="thin"/>
      <diagonal/>
    </border>
    <border diagonalUp="false" diagonalDown="false">
      <left/>
      <right style="double"/>
      <top style="double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double"/>
      <bottom/>
      <diagonal/>
    </border>
    <border diagonalUp="false" diagonalDown="false">
      <left/>
      <right style="double"/>
      <top style="double"/>
      <bottom/>
      <diagonal/>
    </border>
    <border diagonalUp="false" diagonalDown="false">
      <left style="double"/>
      <right/>
      <top/>
      <bottom/>
      <diagonal/>
    </border>
    <border diagonalUp="false" diagonalDown="false">
      <left style="double"/>
      <right/>
      <top/>
      <bottom style="double"/>
      <diagonal/>
    </border>
    <border diagonalUp="false" diagonalDown="false">
      <left style="thin"/>
      <right/>
      <top style="thin"/>
      <bottom style="double"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 style="thin"/>
      <top style="thin"/>
      <bottom style="double"/>
      <diagonal/>
    </border>
    <border diagonalUp="false" diagonalDown="false">
      <left/>
      <right/>
      <top/>
      <bottom style="double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double"/>
      <top style="thin"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4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justify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justify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justify" vertical="bottom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justify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justify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justify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9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1" fillId="0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0" fillId="0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0" fillId="0" borderId="1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9" fontId="1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true"/>
    </xf>
    <xf numFmtId="164" fontId="16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1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2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14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4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3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3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4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9" fontId="1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10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19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9" fillId="5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9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0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3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3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3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3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0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3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3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3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3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4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4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9" fillId="4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4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3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3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0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0" fillId="3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4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24" fillId="4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14" fillId="3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26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3" fillId="0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3" borderId="2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35" fillId="3" borderId="2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4" fillId="3" borderId="2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33" fillId="3" borderId="2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3" borderId="25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5" fillId="3" borderId="26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4" fillId="3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5" fillId="3" borderId="27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5" fillId="3" borderId="2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5" fillId="3" borderId="2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5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5" fillId="3" borderId="1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70" fontId="33" fillId="3" borderId="2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5" fillId="3" borderId="29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4" fillId="3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3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3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33" fillId="3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3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3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3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3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9" fillId="4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4" borderId="3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7" fillId="4" borderId="3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4" borderId="3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6" fillId="4" borderId="36" xfId="0" applyFont="true" applyBorder="true" applyAlignment="true" applyProtection="false">
      <alignment horizontal="general" vertical="top" textRotation="180" wrapText="false" indent="0" shrinkToFit="false"/>
      <protection locked="true" hidden="false"/>
    </xf>
    <xf numFmtId="164" fontId="36" fillId="4" borderId="37" xfId="0" applyFont="true" applyBorder="true" applyAlignment="true" applyProtection="false">
      <alignment horizontal="general" vertical="top" textRotation="18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4" borderId="3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4" fillId="3" borderId="39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33" fillId="3" borderId="2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3" fillId="3" borderId="4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35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4" borderId="4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4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33" fillId="3" borderId="1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3" fillId="3" borderId="3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33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6" fillId="4" borderId="3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3" fillId="0" borderId="4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3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4" borderId="4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3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8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3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3" fillId="0" borderId="2" xfId="0" applyFont="true" applyBorder="true" applyAlignment="true" applyProtection="false">
      <alignment horizontal="general" vertical="top" textRotation="255" wrapText="false" indent="0" shrinkToFit="false"/>
      <protection locked="true" hidden="false"/>
    </xf>
    <xf numFmtId="174" fontId="33" fillId="0" borderId="2" xfId="0" applyFont="true" applyBorder="true" applyAlignment="true" applyProtection="false">
      <alignment horizontal="general" vertical="top" textRotation="255" wrapText="false" indent="0" shrinkToFit="false"/>
      <protection locked="true" hidden="false"/>
    </xf>
    <xf numFmtId="174" fontId="33" fillId="0" borderId="43" xfId="0" applyFont="true" applyBorder="true" applyAlignment="true" applyProtection="false">
      <alignment horizontal="general" vertical="top" textRotation="255" wrapText="false" indent="0" shrinkToFit="false"/>
      <protection locked="true" hidden="false"/>
    </xf>
    <xf numFmtId="164" fontId="36" fillId="4" borderId="4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3" fillId="0" borderId="47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33" fillId="0" borderId="4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47" xfId="0" applyFont="true" applyBorder="true" applyAlignment="true" applyProtection="false">
      <alignment horizontal="general" vertical="bottom" textRotation="255" wrapText="false" indent="0" shrinkToFit="false"/>
      <protection locked="true" hidden="false"/>
    </xf>
    <xf numFmtId="164" fontId="33" fillId="0" borderId="48" xfId="0" applyFont="true" applyBorder="true" applyAlignment="true" applyProtection="false">
      <alignment horizontal="general" vertical="bottom" textRotation="255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4" fillId="3" borderId="49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3" fillId="0" borderId="2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3" borderId="2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35" fillId="3" borderId="2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4" fillId="3" borderId="5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4" fillId="3" borderId="26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7" fillId="4" borderId="5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4" borderId="5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7" fillId="4" borderId="5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4" borderId="5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6" fillId="4" borderId="52" xfId="0" applyFont="true" applyBorder="true" applyAlignment="true" applyProtection="false">
      <alignment horizontal="general" vertical="top" textRotation="180" wrapText="false" indent="0" shrinkToFit="false"/>
      <protection locked="true" hidden="false"/>
    </xf>
    <xf numFmtId="164" fontId="36" fillId="4" borderId="53" xfId="0" applyFont="true" applyBorder="true" applyAlignment="true" applyProtection="false">
      <alignment horizontal="general" vertical="top" textRotation="180" wrapText="false" indent="0" shrinkToFit="false"/>
      <protection locked="true" hidden="false"/>
    </xf>
    <xf numFmtId="164" fontId="35" fillId="6" borderId="5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1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1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1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4" borderId="5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7" fillId="4" borderId="5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4" borderId="5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6" fillId="4" borderId="55" xfId="0" applyFont="true" applyBorder="true" applyAlignment="true" applyProtection="false">
      <alignment horizontal="general" vertical="top" textRotation="180" wrapText="false" indent="0" shrinkToFit="false"/>
      <protection locked="true" hidden="false"/>
    </xf>
    <xf numFmtId="164" fontId="36" fillId="4" borderId="56" xfId="0" applyFont="true" applyBorder="true" applyAlignment="true" applyProtection="false">
      <alignment horizontal="general" vertical="top" textRotation="180" wrapText="false" indent="0" shrinkToFit="false"/>
      <protection locked="true" hidden="false"/>
    </xf>
    <xf numFmtId="164" fontId="36" fillId="4" borderId="5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6" fillId="4" borderId="5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33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4" fillId="3" borderId="59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33" fillId="3" borderId="6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3" fillId="3" borderId="6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33" fillId="6" borderId="6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9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3" borderId="3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3" borderId="2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3" borderId="4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3" fillId="6" borderId="2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9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3" fillId="3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3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3" fillId="6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3" borderId="6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3" borderId="5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3" borderId="6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3" fillId="6" borderId="6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9" fillId="0" borderId="6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0" borderId="66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Functional Test Case v1.0" xfId="20"/>
    <cellStyle name="Normal_Sheet1" xfId="21"/>
    <cellStyle name="Normal_Sheet1_Template_UnitTest Case_v0.9" xfId="22"/>
    <cellStyle name="Normal_Template_UnitTest Case_v0.9" xfId="23"/>
    <cellStyle name="Normal_Template_UnitTest Case_v0.9_Template_UnitTest Case_v0.9" xfId="24"/>
    <cellStyle name="標準_結合試験(AllOvertheWorld)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900" spc="-1" strike="noStrike">
                <a:solidFill>
                  <a:srgbClr val="000000"/>
                </a:solidFill>
                <a:latin typeface="ＭＳ Ｐゴシック"/>
                <a:ea typeface="DejaVu Sans"/>
              </a:defRPr>
            </a:pPr>
            <a:r>
              <a:rPr b="1" sz="900" spc="-1" strike="noStrike">
                <a:solidFill>
                  <a:srgbClr val="000000"/>
                </a:solidFill>
                <a:latin typeface="ＭＳ Ｐゴシック"/>
                <a:ea typeface="DejaVu Sans"/>
              </a:rPr>
              <a:t>Test Type</a:t>
            </a:r>
          </a:p>
        </c:rich>
      </c:tx>
      <c:layout>
        <c:manualLayout>
          <c:xMode val="edge"/>
          <c:yMode val="edge"/>
          <c:x val="0.419576939029448"/>
          <c:y val="0.0507150228512458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5060141020324"/>
          <c:y val="0.278785198289842"/>
          <c:w val="0.408212360016591"/>
          <c:h val="0.603567742886628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explosion val="0"/>
          <c:dPt>
            <c:idx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1"/>
            <c:spPr>
              <a:solidFill>
                <a:srgbClr val="993366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2"/>
            <c:spPr>
              <a:solidFill>
                <a:srgbClr val="ffffcc"/>
              </a:solidFill>
              <a:ln w="12600">
                <a:solidFill>
                  <a:srgbClr val="000000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000000"/>
                      </a:solidFill>
                      <a:latin typeface="ＭＳ Ｐゴシック"/>
                      <a:ea typeface="DejaVu San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000000"/>
                      </a:solidFill>
                      <a:latin typeface="ＭＳ Ｐゴシック"/>
                      <a:ea typeface="DejaVu San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000000"/>
                      </a:solidFill>
                      <a:latin typeface="ＭＳ Ｐゴシック"/>
                      <a:ea typeface="DejaVu San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ＭＳ Ｐゴシック"/>
                    <a:ea typeface="DejaVu Sans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eparator>
</c:separator>
            <c:showLeaderLines val="1"/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Statistics!$F$17:$H$17</c:f>
              <c:numCache>
                <c:formatCode>General</c:formatCode>
                <c:ptCount val="3"/>
                <c:pt idx="0">
                  <c:v>16</c:v>
                </c:pt>
                <c:pt idx="1">
                  <c:v>5</c:v>
                </c:pt>
                <c:pt idx="2">
                  <c:v>21</c:v>
                </c:pt>
              </c:numCache>
            </c:numRef>
          </c:val>
        </c:ser>
        <c:ser>
          <c:idx val="1"/>
          <c:order val="1"/>
          <c:spPr>
            <a:solidFill>
              <a:srgbClr val="993366"/>
            </a:solidFill>
            <a:ln w="12600">
              <a:solidFill>
                <a:srgbClr val="000000"/>
              </a:solidFill>
              <a:round/>
            </a:ln>
          </c:spPr>
          <c:explosion val="0"/>
          <c:dPt>
            <c:idx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1"/>
            <c:spPr>
              <a:solidFill>
                <a:srgbClr val="993366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2"/>
            <c:spPr>
              <a:solidFill>
                <a:srgbClr val="ffffcc"/>
              </a:solidFill>
              <a:ln w="12600">
                <a:solidFill>
                  <a:srgbClr val="000000"/>
                </a:solidFill>
                <a:round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000000"/>
                      </a:solidFill>
                      <a:latin typeface="ＭＳ Ｐゴシック"/>
                      <a:ea typeface="DejaVu Sans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000000"/>
                      </a:solidFill>
                      <a:latin typeface="ＭＳ Ｐゴシック"/>
                      <a:ea typeface="DejaVu Sans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eparator>; 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000000"/>
                      </a:solidFill>
                      <a:latin typeface="ＭＳ Ｐゴシック"/>
                      <a:ea typeface="DejaVu Sans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ＭＳ Ｐゴシック"/>
                    <a:ea typeface="DejaVu Sans"/>
                  </a:defRPr>
                </a:pPr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eparator>; </c:separator>
            <c:showLeaderLines val="1"/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Statistics!$F$16:$H$16</c:f>
              <c:numCache>
                <c:formatCode>General</c:formatCode>
                <c:ptCount val="3"/>
                <c:pt idx="0">
                  <c:v>4</c:v>
                </c:pt>
                <c:pt idx="1">
                  <c:v>0</c:v>
                </c:pt>
                <c:pt idx="2">
                  <c:v>6</c:v>
                </c:pt>
              </c:numCache>
            </c:numRef>
          </c:val>
        </c:ser>
        <c:ser>
          <c:idx val="2"/>
          <c:order val="2"/>
          <c:spPr>
            <a:solidFill>
              <a:srgbClr val="ffffcc"/>
            </a:solidFill>
            <a:ln w="12600">
              <a:solidFill>
                <a:srgbClr val="000000"/>
              </a:solidFill>
              <a:round/>
            </a:ln>
          </c:spPr>
          <c:explosion val="0"/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</c:ser>
        <c:ser>
          <c:idx val="3"/>
          <c:order val="3"/>
          <c:spPr>
            <a:solidFill>
              <a:srgbClr val="ccffff"/>
            </a:solidFill>
            <a:ln w="12600">
              <a:solidFill>
                <a:srgbClr val="000000"/>
              </a:solidFill>
              <a:round/>
            </a:ln>
          </c:spPr>
          <c:explosion val="0"/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</c:ser>
        <c:ser>
          <c:idx val="4"/>
          <c:order val="4"/>
          <c:spPr>
            <a:solidFill>
              <a:srgbClr val="660066"/>
            </a:solidFill>
            <a:ln w="12600">
              <a:solidFill>
                <a:srgbClr val="000000"/>
              </a:solidFill>
              <a:round/>
            </a:ln>
          </c:spPr>
          <c:explosion val="0"/>
          <c:dPt>
            <c:idx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1"/>
            <c:spPr>
              <a:solidFill>
                <a:srgbClr val="993366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2"/>
            <c:spPr>
              <a:solidFill>
                <a:srgbClr val="ffffcc"/>
              </a:solidFill>
              <a:ln w="12600">
                <a:solidFill>
                  <a:srgbClr val="000000"/>
                </a:solidFill>
                <a:round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000000"/>
                      </a:solidFill>
                      <a:latin typeface="ＭＳ Ｐゴシック"/>
                      <a:ea typeface="DejaVu Sans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000000"/>
                      </a:solidFill>
                      <a:latin typeface="ＭＳ Ｐゴシック"/>
                      <a:ea typeface="DejaVu Sans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eparator>; 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000000"/>
                      </a:solidFill>
                      <a:latin typeface="ＭＳ Ｐゴシック"/>
                      <a:ea typeface="DejaVu Sans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ＭＳ Ｐゴシック"/>
                    <a:ea typeface="DejaVu Sans"/>
                  </a:defRPr>
                </a:pPr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eparator>; </c:separator>
            <c:showLeaderLines val="1"/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Statistics!$F$17:$H$17</c:f>
              <c:numCache>
                <c:formatCode>General</c:formatCode>
                <c:ptCount val="3"/>
                <c:pt idx="0">
                  <c:v>16</c:v>
                </c:pt>
                <c:pt idx="1">
                  <c:v>5</c:v>
                </c:pt>
                <c:pt idx="2">
                  <c:v>21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798357664233577"/>
          <c:y val="0.394736842105263"/>
          <c:w val="0.0731585932315859"/>
          <c:h val="0.306101792943898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690" spc="-1" strike="noStrike">
              <a:solidFill>
                <a:srgbClr val="000000"/>
              </a:solidFill>
              <a:latin typeface="ＭＳ Ｐゴシック"/>
              <a:ea typeface="DejaVu Sans"/>
            </a:defRPr>
          </a:pPr>
        </a:p>
      </c:txPr>
    </c:legend>
    <c:plotVisOnly val="1"/>
    <c:dispBlanksAs val="zero"/>
  </c:chart>
  <c:spPr>
    <a:solidFill>
      <a:srgbClr val="ffffff"/>
    </a:solidFill>
    <a:ln w="0">
      <a:solidFill>
        <a:srgbClr val="000000"/>
      </a:solidFill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ＭＳ Ｐゴシック"/>
                <a:ea typeface="DejaVu Sans"/>
              </a:defRPr>
            </a:pPr>
            <a:r>
              <a:rPr b="1" sz="1100" spc="-1" strike="noStrike">
                <a:solidFill>
                  <a:srgbClr val="000000"/>
                </a:solidFill>
                <a:latin typeface="ＭＳ Ｐゴシック"/>
                <a:ea typeface="DejaVu Sans"/>
              </a:rPr>
              <a:t>Passed Percent</a:t>
            </a:r>
          </a:p>
        </c:rich>
      </c:tx>
      <c:layout>
        <c:manualLayout>
          <c:xMode val="edge"/>
          <c:yMode val="edge"/>
          <c:x val="0.364968799883907"/>
          <c:y val="0.0517576664173523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33565520243796"/>
          <c:y val="0.290800299177263"/>
          <c:w val="0.351037585256131"/>
          <c:h val="0.601645474943904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explosion val="0"/>
          <c:dPt>
            <c:idx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1"/>
            <c:spPr>
              <a:solidFill>
                <a:srgbClr val="993366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2"/>
            <c:spPr>
              <a:solidFill>
                <a:srgbClr val="ffffcc"/>
              </a:solidFill>
              <a:ln w="12600">
                <a:solidFill>
                  <a:srgbClr val="000000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000000"/>
                      </a:solidFill>
                      <a:latin typeface="ＭＳ Ｐゴシック"/>
                      <a:ea typeface="DejaVu San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000000"/>
                      </a:solidFill>
                      <a:latin typeface="ＭＳ Ｐゴシック"/>
                      <a:ea typeface="DejaVu San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000000"/>
                      </a:solidFill>
                      <a:latin typeface="ＭＳ Ｐゴシック"/>
                      <a:ea typeface="DejaVu San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ＭＳ Ｐゴシック"/>
                    <a:ea typeface="DejaVu Sans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eparator>
</c:separator>
            <c:showLeaderLines val="1"/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Statistics!$C$17:$E$17</c:f>
              <c:numCache>
                <c:formatCode>General</c:formatCode>
                <c:ptCount val="3"/>
                <c:pt idx="0">
                  <c:v>42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spPr>
            <a:solidFill>
              <a:srgbClr val="993366"/>
            </a:solidFill>
            <a:ln w="12600">
              <a:solidFill>
                <a:srgbClr val="000000"/>
              </a:solidFill>
              <a:round/>
            </a:ln>
          </c:spPr>
          <c:explosion val="0"/>
          <c:dPt>
            <c:idx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1"/>
            <c:spPr>
              <a:solidFill>
                <a:srgbClr val="993366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2"/>
            <c:spPr>
              <a:solidFill>
                <a:srgbClr val="ffffcc"/>
              </a:solidFill>
              <a:ln w="12600">
                <a:solidFill>
                  <a:srgbClr val="000000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100" spc="-1" strike="noStrike">
                      <a:solidFill>
                        <a:srgbClr val="000000"/>
                      </a:solidFill>
                      <a:latin typeface="ＭＳ Ｐゴシック"/>
                      <a:ea typeface="DejaVu San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100" spc="-1" strike="noStrike">
                      <a:solidFill>
                        <a:srgbClr val="000000"/>
                      </a:solidFill>
                      <a:latin typeface="ＭＳ Ｐゴシック"/>
                      <a:ea typeface="DejaVu San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100" spc="-1" strike="noStrike">
                      <a:solidFill>
                        <a:srgbClr val="000000"/>
                      </a:solidFill>
                      <a:latin typeface="ＭＳ Ｐゴシック"/>
                      <a:ea typeface="DejaVu San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100" spc="-1" strike="noStrike">
                    <a:solidFill>
                      <a:srgbClr val="000000"/>
                    </a:solidFill>
                    <a:latin typeface="ＭＳ Ｐゴシック"/>
                    <a:ea typeface="DejaVu Sans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eparator>
</c:separator>
            <c:showLeaderLines val="1"/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Statistics!$C$16:$E$16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spPr>
            <a:solidFill>
              <a:srgbClr val="ffffcc"/>
            </a:solidFill>
            <a:ln w="12600">
              <a:solidFill>
                <a:srgbClr val="000000"/>
              </a:solidFill>
              <a:round/>
            </a:ln>
          </c:spPr>
          <c:explosion val="0"/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</c:ser>
        <c:ser>
          <c:idx val="3"/>
          <c:order val="3"/>
          <c:spPr>
            <a:solidFill>
              <a:srgbClr val="ccffff"/>
            </a:solidFill>
            <a:ln w="12600">
              <a:solidFill>
                <a:srgbClr val="000000"/>
              </a:solidFill>
              <a:round/>
            </a:ln>
          </c:spPr>
          <c:explosion val="0"/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</c:ser>
        <c:ser>
          <c:idx val="4"/>
          <c:order val="4"/>
          <c:spPr>
            <a:solidFill>
              <a:srgbClr val="660066"/>
            </a:solidFill>
            <a:ln w="12600">
              <a:solidFill>
                <a:srgbClr val="000000"/>
              </a:solidFill>
              <a:round/>
            </a:ln>
          </c:spPr>
          <c:explosion val="0"/>
          <c:dPt>
            <c:idx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1"/>
            <c:spPr>
              <a:solidFill>
                <a:srgbClr val="993366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2"/>
            <c:spPr>
              <a:solidFill>
                <a:srgbClr val="ffffcc"/>
              </a:solidFill>
              <a:ln w="12600">
                <a:solidFill>
                  <a:srgbClr val="000000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100" spc="-1" strike="noStrike">
                      <a:solidFill>
                        <a:srgbClr val="000000"/>
                      </a:solidFill>
                      <a:latin typeface="ＭＳ Ｐゴシック"/>
                      <a:ea typeface="DejaVu San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100" spc="-1" strike="noStrike">
                      <a:solidFill>
                        <a:srgbClr val="000000"/>
                      </a:solidFill>
                      <a:latin typeface="ＭＳ Ｐゴシック"/>
                      <a:ea typeface="DejaVu San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100" spc="-1" strike="noStrike">
                      <a:solidFill>
                        <a:srgbClr val="000000"/>
                      </a:solidFill>
                      <a:latin typeface="ＭＳ Ｐゴシック"/>
                      <a:ea typeface="DejaVu San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100" spc="-1" strike="noStrike">
                    <a:solidFill>
                      <a:srgbClr val="000000"/>
                    </a:solidFill>
                    <a:latin typeface="ＭＳ Ｐゴシック"/>
                    <a:ea typeface="DejaVu Sans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eparator>
</c:separator>
            <c:showLeaderLines val="1"/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Statistics!$C$17:$E$17</c:f>
              <c:numCache>
                <c:formatCode>General</c:formatCode>
                <c:ptCount val="3"/>
                <c:pt idx="0">
                  <c:v>42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776100993978089"/>
          <c:y val="0.430102790014684"/>
          <c:w val="0.163825001813829"/>
          <c:h val="0.290161527165932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850" spc="-1" strike="noStrike">
              <a:solidFill>
                <a:srgbClr val="000000"/>
              </a:solidFill>
              <a:latin typeface="ＭＳ Ｐゴシック"/>
              <a:ea typeface="DejaVu Sans"/>
            </a:defRPr>
          </a:pPr>
        </a:p>
      </c:txPr>
    </c:legend>
    <c:plotVisOnly val="1"/>
    <c:dispBlanksAs val="zero"/>
  </c:chart>
  <c:spPr>
    <a:solidFill>
      <a:srgbClr val="ffffff"/>
    </a:solidFill>
    <a:ln w="0">
      <a:solidFill>
        <a:srgbClr val="000000"/>
      </a:solidFill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90000</xdr:rowOff>
    </xdr:from>
    <xdr:to>
      <xdr:col>0</xdr:col>
      <xdr:colOff>2490480</xdr:colOff>
      <xdr:row>1</xdr:row>
      <xdr:rowOff>788760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0" y="252000"/>
          <a:ext cx="2490480" cy="6987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636120</xdr:colOff>
      <xdr:row>24</xdr:row>
      <xdr:rowOff>0</xdr:rowOff>
    </xdr:from>
    <xdr:to>
      <xdr:col>9</xdr:col>
      <xdr:colOff>2520</xdr:colOff>
      <xdr:row>39</xdr:row>
      <xdr:rowOff>12600</xdr:rowOff>
    </xdr:to>
    <xdr:graphicFrame>
      <xdr:nvGraphicFramePr>
        <xdr:cNvPr id="1" name="Chart 1"/>
        <xdr:cNvGraphicFramePr/>
      </xdr:nvGraphicFramePr>
      <xdr:xfrm>
        <a:off x="5448960" y="4191120"/>
        <a:ext cx="4339440" cy="2441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132840</xdr:colOff>
      <xdr:row>24</xdr:row>
      <xdr:rowOff>25200</xdr:rowOff>
    </xdr:from>
    <xdr:to>
      <xdr:col>3</xdr:col>
      <xdr:colOff>281160</xdr:colOff>
      <xdr:row>39</xdr:row>
      <xdr:rowOff>2520</xdr:rowOff>
    </xdr:to>
    <xdr:graphicFrame>
      <xdr:nvGraphicFramePr>
        <xdr:cNvPr id="2" name="Chart 2"/>
        <xdr:cNvGraphicFramePr/>
      </xdr:nvGraphicFramePr>
      <xdr:xfrm>
        <a:off x="132840" y="4216320"/>
        <a:ext cx="4961160" cy="2406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3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4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5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6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7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9609375" defaultRowHeight="13.5" zeroHeight="false" outlineLevelRow="0" outlineLevelCol="0"/>
  <cols>
    <col collapsed="false" customWidth="true" hidden="false" outlineLevel="0" max="1" min="1" style="1" width="119.32"/>
    <col collapsed="false" customWidth="false" hidden="false" outlineLevel="0" max="257" min="2" style="1" width="8.99"/>
  </cols>
  <sheetData>
    <row r="1" s="3" customFormat="true" ht="22.5" hidden="false" customHeight="true" outlineLevel="0" collapsed="false">
      <c r="A1" s="2" t="s">
        <v>0</v>
      </c>
    </row>
    <row r="2" s="3" customFormat="true" ht="22.5" hidden="false" customHeight="true" outlineLevel="0" collapsed="false">
      <c r="A2" s="2"/>
    </row>
    <row r="3" s="5" customFormat="true" ht="18" hidden="false" customHeight="true" outlineLevel="0" collapsed="false">
      <c r="A3" s="4" t="s">
        <v>1</v>
      </c>
    </row>
    <row r="4" customFormat="false" ht="15" hidden="false" customHeight="true" outlineLevel="0" collapsed="false">
      <c r="A4" s="6" t="s">
        <v>2</v>
      </c>
    </row>
    <row r="5" customFormat="false" ht="15" hidden="false" customHeight="true" outlineLevel="0" collapsed="false">
      <c r="A5" s="6" t="s">
        <v>3</v>
      </c>
    </row>
    <row r="6" customFormat="false" ht="42" hidden="false" customHeight="true" outlineLevel="0" collapsed="false">
      <c r="A6" s="7" t="s">
        <v>4</v>
      </c>
    </row>
    <row r="7" customFormat="false" ht="29.25" hidden="false" customHeight="true" outlineLevel="0" collapsed="false">
      <c r="A7" s="7" t="s">
        <v>5</v>
      </c>
    </row>
    <row r="8" customFormat="false" ht="30" hidden="false" customHeight="true" outlineLevel="0" collapsed="false">
      <c r="A8" s="8" t="s">
        <v>6</v>
      </c>
    </row>
    <row r="9" s="10" customFormat="true" ht="16.5" hidden="false" customHeight="true" outlineLevel="0" collapsed="false">
      <c r="A9" s="9" t="s">
        <v>7</v>
      </c>
    </row>
    <row r="10" customFormat="false" ht="16.5" hidden="false" customHeight="true" outlineLevel="0" collapsed="false">
      <c r="A10" s="11"/>
    </row>
    <row r="11" s="5" customFormat="true" ht="18" hidden="false" customHeight="true" outlineLevel="0" collapsed="false">
      <c r="A11" s="4" t="s">
        <v>8</v>
      </c>
    </row>
    <row r="12" s="13" customFormat="true" ht="15" hidden="false" customHeight="true" outlineLevel="0" collapsed="false">
      <c r="A12" s="12" t="s">
        <v>9</v>
      </c>
    </row>
    <row r="13" customFormat="false" ht="27.75" hidden="false" customHeight="true" outlineLevel="0" collapsed="false">
      <c r="A13" s="6" t="s">
        <v>10</v>
      </c>
    </row>
    <row r="14" customFormat="false" ht="13.5" hidden="false" customHeight="true" outlineLevel="0" collapsed="false">
      <c r="A14" s="6" t="s">
        <v>11</v>
      </c>
    </row>
    <row r="15" customFormat="false" ht="13.5" hidden="false" customHeight="true" outlineLevel="0" collapsed="false">
      <c r="A15" s="7" t="s">
        <v>12</v>
      </c>
    </row>
    <row r="16" customFormat="false" ht="13.5" hidden="false" customHeight="true" outlineLevel="0" collapsed="false">
      <c r="A16" s="11"/>
    </row>
    <row r="17" s="13" customFormat="true" ht="15" hidden="false" customHeight="true" outlineLevel="0" collapsed="false">
      <c r="A17" s="12" t="s">
        <v>13</v>
      </c>
    </row>
    <row r="18" customFormat="false" ht="13.5" hidden="false" customHeight="true" outlineLevel="0" collapsed="false">
      <c r="A18" s="6" t="s">
        <v>14</v>
      </c>
      <c r="B18" s="11"/>
    </row>
    <row r="19" customFormat="false" ht="13.5" hidden="false" customHeight="true" outlineLevel="0" collapsed="false">
      <c r="A19" s="12" t="s">
        <v>15</v>
      </c>
    </row>
    <row r="20" customFormat="false" ht="13.5" hidden="false" customHeight="true" outlineLevel="0" collapsed="false">
      <c r="A20" s="6" t="s">
        <v>16</v>
      </c>
      <c r="B20" s="11"/>
    </row>
    <row r="21" customFormat="false" ht="27.75" hidden="false" customHeight="true" outlineLevel="0" collapsed="false">
      <c r="A21" s="7" t="s">
        <v>17</v>
      </c>
    </row>
    <row r="22" customFormat="false" ht="13.5" hidden="false" customHeight="true" outlineLevel="0" collapsed="false">
      <c r="A22" s="6" t="s">
        <v>18</v>
      </c>
      <c r="B22" s="11"/>
    </row>
    <row r="23" customFormat="false" ht="13.5" hidden="false" customHeight="true" outlineLevel="0" collapsed="false">
      <c r="A23" s="6" t="s">
        <v>19</v>
      </c>
      <c r="B23" s="11"/>
    </row>
    <row r="24" customFormat="false" ht="13.5" hidden="false" customHeight="true" outlineLevel="0" collapsed="false">
      <c r="A24" s="6" t="s">
        <v>20</v>
      </c>
      <c r="B24" s="11"/>
    </row>
    <row r="25" customFormat="false" ht="15" hidden="false" customHeight="true" outlineLevel="0" collapsed="false">
      <c r="A25" s="6" t="s">
        <v>21</v>
      </c>
      <c r="B25" s="11"/>
      <c r="C25" s="11" t="s">
        <v>22</v>
      </c>
      <c r="D25" s="11" t="s">
        <v>22</v>
      </c>
    </row>
    <row r="26" customFormat="false" ht="13.5" hidden="false" customHeight="true" outlineLevel="0" collapsed="false">
      <c r="A26" s="6" t="s">
        <v>23</v>
      </c>
    </row>
    <row r="27" customFormat="false" ht="13.5" hidden="false" customHeight="true" outlineLevel="0" collapsed="false">
      <c r="A27" s="6" t="s">
        <v>24</v>
      </c>
      <c r="B27" s="11"/>
    </row>
    <row r="28" customFormat="false" ht="13.5" hidden="false" customHeight="true" outlineLevel="0" collapsed="false">
      <c r="A28" s="6" t="s">
        <v>25</v>
      </c>
    </row>
    <row r="29" customFormat="false" ht="13.5" hidden="false" customHeight="true" outlineLevel="0" collapsed="false">
      <c r="A29" s="6" t="s">
        <v>26</v>
      </c>
    </row>
    <row r="30" customFormat="false" ht="15" hidden="false" customHeight="true" outlineLevel="0" collapsed="false">
      <c r="A30" s="6" t="s">
        <v>27</v>
      </c>
      <c r="B30" s="11"/>
      <c r="C30" s="11" t="s">
        <v>22</v>
      </c>
    </row>
    <row r="31" customFormat="false" ht="13.5" hidden="false" customHeight="true" outlineLevel="0" collapsed="false">
      <c r="A31" s="12" t="s">
        <v>28</v>
      </c>
    </row>
    <row r="32" customFormat="false" ht="30" hidden="false" customHeight="true" outlineLevel="0" collapsed="false">
      <c r="A32" s="7" t="s">
        <v>29</v>
      </c>
    </row>
    <row r="33" customFormat="false" ht="13.5" hidden="false" customHeight="true" outlineLevel="0" collapsed="false">
      <c r="A33" s="6" t="s">
        <v>30</v>
      </c>
    </row>
    <row r="34" customFormat="false" ht="13.5" hidden="false" customHeight="true" outlineLevel="0" collapsed="false">
      <c r="A34" s="6" t="s">
        <v>31</v>
      </c>
    </row>
    <row r="35" customFormat="false" ht="13.5" hidden="false" customHeight="true" outlineLevel="0" collapsed="false">
      <c r="A35" s="6" t="s">
        <v>32</v>
      </c>
      <c r="B35" s="11"/>
    </row>
    <row r="36" customFormat="false" ht="13.5" hidden="false" customHeight="true" outlineLevel="0" collapsed="false">
      <c r="A36" s="6" t="s">
        <v>33</v>
      </c>
      <c r="B36" s="11"/>
    </row>
    <row r="37" customFormat="false" ht="13.5" hidden="false" customHeight="true" outlineLevel="0" collapsed="false">
      <c r="A37" s="12" t="s">
        <v>34</v>
      </c>
    </row>
    <row r="38" customFormat="false" ht="13.5" hidden="false" customHeight="true" outlineLevel="0" collapsed="false">
      <c r="A38" s="6" t="s">
        <v>35</v>
      </c>
    </row>
    <row r="39" customFormat="false" ht="42" hidden="false" customHeight="true" outlineLevel="0" collapsed="false">
      <c r="A39" s="8" t="s">
        <v>36</v>
      </c>
      <c r="B39" s="11"/>
    </row>
    <row r="40" customFormat="false" ht="13.5" hidden="false" customHeight="true" outlineLevel="0" collapsed="false">
      <c r="A40" s="8"/>
      <c r="B40" s="11"/>
    </row>
    <row r="41" s="13" customFormat="true" ht="15" hidden="false" customHeight="true" outlineLevel="0" collapsed="false">
      <c r="A41" s="12" t="s">
        <v>37</v>
      </c>
    </row>
    <row r="42" customFormat="false" ht="13.5" hidden="false" customHeight="true" outlineLevel="0" collapsed="false">
      <c r="A42" s="6" t="s">
        <v>38</v>
      </c>
    </row>
    <row r="43" customFormat="false" ht="13.5" hidden="false" customHeight="true" outlineLevel="0" collapsed="false">
      <c r="A43" s="6" t="s">
        <v>39</v>
      </c>
    </row>
    <row r="44" customFormat="false" ht="13.5" hidden="false" customHeight="true" outlineLevel="0" collapsed="false">
      <c r="A44" s="6" t="s">
        <v>40</v>
      </c>
    </row>
    <row r="45" customFormat="false" ht="13.5" hidden="false" customHeight="true" outlineLevel="0" collapsed="false">
      <c r="A45" s="6" t="s">
        <v>41</v>
      </c>
    </row>
    <row r="46" customFormat="false" ht="13.5" hidden="false" customHeight="true" outlineLevel="0" collapsed="false">
      <c r="A46" s="6" t="s">
        <v>42</v>
      </c>
    </row>
    <row r="47" customFormat="false" ht="13.5" hidden="false" customHeight="true" outlineLevel="0" collapsed="false">
      <c r="A47" s="6" t="s">
        <v>43</v>
      </c>
    </row>
    <row r="48" customFormat="false" ht="15" hidden="false" customHeight="true" outlineLevel="0" collapsed="false">
      <c r="A48" s="11" t="s">
        <v>44</v>
      </c>
    </row>
    <row r="49" customFormat="false" ht="13.5" hidden="false" customHeight="true" outlineLevel="0" collapsed="false">
      <c r="A49" s="11"/>
    </row>
  </sheetData>
  <printOptions headings="false" gridLines="false" gridLinesSet="true" horizontalCentered="false" verticalCentered="false"/>
  <pageMargins left="0.75" right="0.75" top="0.7" bottom="0.6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99609375" defaultRowHeight="12.75" zeroHeight="false" outlineLevelRow="0" outlineLevelCol="0"/>
  <cols>
    <col collapsed="false" customWidth="true" hidden="false" outlineLevel="0" max="1" min="1" style="14" width="28.16"/>
    <col collapsed="false" customWidth="true" hidden="false" outlineLevel="0" max="2" min="2" style="15" width="9.99"/>
    <col collapsed="false" customWidth="true" hidden="false" outlineLevel="0" max="3" min="3" style="15" width="14.32"/>
    <col collapsed="false" customWidth="true" hidden="false" outlineLevel="0" max="4" min="4" style="15" width="7.99"/>
    <col collapsed="false" customWidth="true" hidden="false" outlineLevel="0" max="5" min="5" style="15" width="37.99"/>
    <col collapsed="false" customWidth="true" hidden="false" outlineLevel="0" max="6" min="6" style="15" width="48.16"/>
    <col collapsed="false" customWidth="false" hidden="false" outlineLevel="0" max="257" min="7" style="15" width="8.99"/>
  </cols>
  <sheetData>
    <row r="2" s="18" customFormat="true" ht="75.75" hidden="false" customHeight="true" outlineLevel="0" collapsed="false">
      <c r="A2" s="16"/>
      <c r="B2" s="17" t="s">
        <v>45</v>
      </c>
      <c r="C2" s="17"/>
      <c r="D2" s="17"/>
      <c r="E2" s="17"/>
      <c r="F2" s="17"/>
    </row>
    <row r="3" customFormat="false" ht="12.75" hidden="false" customHeight="true" outlineLevel="0" collapsed="false">
      <c r="A3" s="19"/>
      <c r="B3" s="20"/>
      <c r="E3" s="21"/>
    </row>
    <row r="4" customFormat="false" ht="14.25" hidden="false" customHeight="true" outlineLevel="0" collapsed="false">
      <c r="A4" s="22" t="s">
        <v>46</v>
      </c>
      <c r="B4" s="23" t="s">
        <v>47</v>
      </c>
      <c r="C4" s="23"/>
      <c r="D4" s="23"/>
      <c r="E4" s="22" t="s">
        <v>48</v>
      </c>
      <c r="F4" s="24" t="s">
        <v>49</v>
      </c>
    </row>
    <row r="5" customFormat="false" ht="14.25" hidden="false" customHeight="true" outlineLevel="0" collapsed="false">
      <c r="A5" s="22" t="s">
        <v>50</v>
      </c>
      <c r="B5" s="23" t="s">
        <v>51</v>
      </c>
      <c r="C5" s="23"/>
      <c r="D5" s="23"/>
      <c r="E5" s="22" t="s">
        <v>52</v>
      </c>
      <c r="F5" s="25" t="n">
        <v>46300</v>
      </c>
    </row>
    <row r="6" customFormat="false" ht="15.75" hidden="false" customHeight="true" outlineLevel="0" collapsed="false">
      <c r="A6" s="26" t="s">
        <v>53</v>
      </c>
      <c r="B6" s="27" t="str">
        <f aca="false">B5&amp;"_"&amp;"UnitTest"&amp;"_"&amp;"v1.0"</f>
        <v>SALES_UnitTest_v1.0</v>
      </c>
      <c r="C6" s="27"/>
      <c r="D6" s="27"/>
      <c r="E6" s="22" t="s">
        <v>54</v>
      </c>
      <c r="F6" s="28" t="s">
        <v>55</v>
      </c>
    </row>
    <row r="7" customFormat="false" ht="12.75" hidden="false" customHeight="true" outlineLevel="0" collapsed="false">
      <c r="A7" s="29"/>
      <c r="B7" s="30"/>
      <c r="E7" s="31"/>
      <c r="F7" s="20"/>
    </row>
    <row r="8" customFormat="false" ht="12.75" hidden="false" customHeight="true" outlineLevel="0" collapsed="false">
      <c r="A8" s="15"/>
    </row>
    <row r="9" customFormat="false" ht="12.75" hidden="false" customHeight="true" outlineLevel="0" collapsed="false">
      <c r="A9" s="32" t="s">
        <v>56</v>
      </c>
    </row>
    <row r="10" s="36" customFormat="true" ht="12.75" hidden="false" customHeight="true" outlineLevel="0" collapsed="false">
      <c r="A10" s="33" t="s">
        <v>57</v>
      </c>
      <c r="B10" s="34" t="s">
        <v>54</v>
      </c>
      <c r="C10" s="34" t="s">
        <v>58</v>
      </c>
      <c r="D10" s="34" t="s">
        <v>59</v>
      </c>
      <c r="E10" s="34" t="s">
        <v>60</v>
      </c>
      <c r="F10" s="35" t="s">
        <v>61</v>
      </c>
    </row>
    <row r="11" s="42" customFormat="true" ht="26.25" hidden="false" customHeight="true" outlineLevel="0" collapsed="false">
      <c r="A11" s="37" t="n">
        <v>46300</v>
      </c>
      <c r="B11" s="38" t="s">
        <v>55</v>
      </c>
      <c r="C11" s="39" t="s">
        <v>62</v>
      </c>
      <c r="D11" s="39" t="s">
        <v>63</v>
      </c>
      <c r="E11" s="40" t="s">
        <v>64</v>
      </c>
      <c r="F11" s="41" t="s">
        <v>65</v>
      </c>
    </row>
    <row r="12" s="42" customFormat="true" ht="21.75" hidden="false" customHeight="true" outlineLevel="0" collapsed="false">
      <c r="A12" s="43"/>
      <c r="B12" s="38"/>
      <c r="C12" s="39"/>
      <c r="D12" s="39"/>
      <c r="E12" s="39"/>
      <c r="F12" s="44"/>
    </row>
    <row r="13" s="42" customFormat="true" ht="19.5" hidden="false" customHeight="true" outlineLevel="0" collapsed="false">
      <c r="A13" s="43"/>
      <c r="B13" s="38"/>
      <c r="C13" s="39"/>
      <c r="D13" s="39"/>
      <c r="E13" s="39"/>
      <c r="F13" s="44"/>
    </row>
    <row r="14" s="42" customFormat="true" ht="21.75" hidden="false" customHeight="true" outlineLevel="0" collapsed="false">
      <c r="A14" s="43"/>
      <c r="B14" s="38"/>
      <c r="C14" s="39"/>
      <c r="D14" s="39"/>
      <c r="E14" s="39"/>
      <c r="F14" s="44"/>
    </row>
    <row r="15" s="42" customFormat="true" ht="19.5" hidden="false" customHeight="true" outlineLevel="0" collapsed="false">
      <c r="A15" s="43"/>
      <c r="B15" s="38"/>
      <c r="C15" s="39"/>
      <c r="D15" s="39"/>
      <c r="E15" s="39"/>
      <c r="F15" s="44"/>
    </row>
    <row r="16" s="42" customFormat="true" ht="21.75" hidden="false" customHeight="true" outlineLevel="0" collapsed="false">
      <c r="A16" s="43"/>
      <c r="B16" s="38"/>
      <c r="C16" s="39"/>
      <c r="D16" s="39"/>
      <c r="E16" s="39"/>
      <c r="F16" s="44"/>
    </row>
    <row r="17" s="42" customFormat="true" ht="19.5" hidden="false" customHeight="true" outlineLevel="0" collapsed="false">
      <c r="A17" s="45"/>
      <c r="B17" s="46"/>
      <c r="C17" s="47"/>
      <c r="D17" s="47"/>
      <c r="E17" s="47"/>
      <c r="F17" s="48"/>
    </row>
  </sheetData>
  <mergeCells count="4">
    <mergeCell ref="B2:F2"/>
    <mergeCell ref="B4:D4"/>
    <mergeCell ref="B5:D5"/>
    <mergeCell ref="B6:D6"/>
  </mergeCells>
  <printOptions headings="false" gridLines="false" gridLinesSet="true" horizontalCentered="false" verticalCentered="false"/>
  <pageMargins left="0.470138888888889" right="0.470138888888889" top="0.5" bottom="0.351388888888889" header="0.511811023622047" footer="0.170138888888889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&amp;L&amp;"Tahoma,Regular"&amp;8 02ae-BM/PM/HDCV/FSOFT v2/1&amp;C&amp;"Tahoma,Regular"&amp;8 Internal use&amp;R&amp;"tahomaTahoma,Regular"&amp;8 &amp;P/&amp;N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8.99609375" defaultRowHeight="12.75" zeroHeight="false" outlineLevelRow="0" outlineLevelCol="0"/>
  <cols>
    <col collapsed="false" customWidth="true" hidden="false" outlineLevel="0" max="1" min="1" style="49" width="7.16"/>
    <col collapsed="false" customWidth="true" hidden="false" outlineLevel="0" max="2" min="2" style="49" width="14.82"/>
    <col collapsed="false" customWidth="true" hidden="false" outlineLevel="0" max="3" min="3" style="49" width="9.82"/>
    <col collapsed="false" customWidth="true" hidden="false" outlineLevel="0" max="4" min="4" style="50" width="12.32"/>
    <col collapsed="false" customWidth="true" hidden="false" outlineLevel="0" max="5" min="5" style="51" width="20.99"/>
    <col collapsed="false" customWidth="true" hidden="false" outlineLevel="0" max="6" min="6" style="50" width="12.32"/>
    <col collapsed="false" customWidth="true" hidden="false" outlineLevel="0" max="7" min="7" style="50" width="41.82"/>
    <col collapsed="false" customWidth="true" hidden="false" outlineLevel="0" max="8" min="8" style="50" width="51.32"/>
    <col collapsed="false" customWidth="false" hidden="false" outlineLevel="0" max="257" min="9" style="21" width="8.99"/>
  </cols>
  <sheetData>
    <row r="2" customFormat="false" ht="24.75" hidden="false" customHeight="true" outlineLevel="0" collapsed="false">
      <c r="A2" s="52"/>
      <c r="B2" s="52"/>
      <c r="C2" s="52"/>
      <c r="E2" s="53" t="s">
        <v>66</v>
      </c>
      <c r="F2" s="53"/>
      <c r="G2" s="54"/>
    </row>
    <row r="3" customFormat="false" ht="13.5" hidden="false" customHeight="true" outlineLevel="0" collapsed="false">
      <c r="A3" s="52"/>
      <c r="B3" s="52"/>
      <c r="C3" s="52"/>
      <c r="F3" s="55"/>
      <c r="G3" s="55"/>
    </row>
    <row r="4" customFormat="false" ht="14.25" hidden="false" customHeight="true" outlineLevel="0" collapsed="false">
      <c r="A4" s="56" t="s">
        <v>46</v>
      </c>
      <c r="B4" s="56"/>
      <c r="C4" s="56"/>
      <c r="D4" s="56"/>
      <c r="E4" s="57" t="str">
        <f aca="false">Cover!B4</f>
        <v>Sales Management System</v>
      </c>
      <c r="F4" s="57"/>
      <c r="G4" s="57"/>
      <c r="H4" s="57"/>
    </row>
    <row r="5" customFormat="false" ht="14.25" hidden="false" customHeight="true" outlineLevel="0" collapsed="false">
      <c r="A5" s="56" t="s">
        <v>50</v>
      </c>
      <c r="B5" s="56"/>
      <c r="C5" s="56"/>
      <c r="D5" s="56"/>
      <c r="E5" s="57" t="str">
        <f aca="false">Cover!B5</f>
        <v>SALES</v>
      </c>
      <c r="F5" s="57"/>
      <c r="G5" s="57"/>
      <c r="H5" s="57"/>
    </row>
    <row r="6" customFormat="false" ht="14.25" hidden="false" customHeight="true" outlineLevel="0" collapsed="false">
      <c r="A6" s="58" t="s">
        <v>67</v>
      </c>
      <c r="B6" s="58"/>
      <c r="C6" s="58"/>
      <c r="D6" s="58"/>
      <c r="E6" s="59" t="n">
        <v>100</v>
      </c>
      <c r="F6" s="60"/>
      <c r="G6" s="60"/>
      <c r="H6" s="61"/>
    </row>
    <row r="7" s="64" customFormat="true" ht="12.75" hidden="false" customHeight="true" outlineLevel="0" collapsed="false">
      <c r="A7" s="62" t="s">
        <v>68</v>
      </c>
      <c r="B7" s="62"/>
      <c r="C7" s="62"/>
      <c r="D7" s="62"/>
      <c r="E7" s="63" t="s">
        <v>69</v>
      </c>
      <c r="F7" s="63"/>
      <c r="G7" s="63"/>
      <c r="H7" s="63"/>
    </row>
    <row r="8" customFormat="false" ht="12.75" hidden="false" customHeight="true" outlineLevel="0" collapsed="false">
      <c r="A8" s="65"/>
      <c r="B8" s="65"/>
      <c r="C8" s="65"/>
      <c r="D8" s="21"/>
      <c r="E8" s="64"/>
      <c r="F8" s="21"/>
      <c r="G8" s="21"/>
      <c r="H8" s="21"/>
    </row>
    <row r="9" s="69" customFormat="true" ht="12.75" hidden="false" customHeight="true" outlineLevel="0" collapsed="false">
      <c r="A9" s="66"/>
      <c r="B9" s="66"/>
      <c r="C9" s="66"/>
      <c r="D9" s="67"/>
      <c r="E9" s="68"/>
      <c r="F9" s="67"/>
      <c r="G9" s="67"/>
      <c r="H9" s="67"/>
    </row>
    <row r="10" s="77" customFormat="true" ht="24" hidden="false" customHeight="true" outlineLevel="0" collapsed="false">
      <c r="A10" s="70" t="s">
        <v>70</v>
      </c>
      <c r="B10" s="71" t="s">
        <v>71</v>
      </c>
      <c r="C10" s="72" t="s">
        <v>72</v>
      </c>
      <c r="D10" s="73" t="s">
        <v>73</v>
      </c>
      <c r="E10" s="74" t="s">
        <v>74</v>
      </c>
      <c r="F10" s="73" t="s">
        <v>75</v>
      </c>
      <c r="G10" s="75" t="s">
        <v>76</v>
      </c>
      <c r="H10" s="76" t="s">
        <v>77</v>
      </c>
    </row>
    <row r="11" customFormat="false" ht="13.5" hidden="false" customHeight="true" outlineLevel="0" collapsed="false">
      <c r="A11" s="78" t="n">
        <v>1</v>
      </c>
      <c r="B11" s="79" t="s">
        <v>78</v>
      </c>
      <c r="C11" s="79" t="s">
        <v>79</v>
      </c>
      <c r="D11" s="80" t="s">
        <v>80</v>
      </c>
      <c r="E11" s="81" t="s">
        <v>81</v>
      </c>
      <c r="F11" s="82" t="s">
        <v>81</v>
      </c>
      <c r="G11" s="82" t="s">
        <v>82</v>
      </c>
      <c r="H11" s="83" t="s">
        <v>83</v>
      </c>
    </row>
    <row r="12" customFormat="false" ht="13.5" hidden="false" customHeight="true" outlineLevel="0" collapsed="false">
      <c r="A12" s="78" t="n">
        <v>2</v>
      </c>
      <c r="B12" s="79" t="s">
        <v>84</v>
      </c>
      <c r="C12" s="79" t="s">
        <v>79</v>
      </c>
      <c r="D12" s="80" t="s">
        <v>85</v>
      </c>
      <c r="E12" s="81" t="s">
        <v>86</v>
      </c>
      <c r="F12" s="82" t="s">
        <v>86</v>
      </c>
      <c r="G12" s="82" t="s">
        <v>87</v>
      </c>
      <c r="H12" s="83" t="s">
        <v>83</v>
      </c>
    </row>
    <row r="13" customFormat="false" ht="13.5" hidden="false" customHeight="true" outlineLevel="0" collapsed="false">
      <c r="A13" s="78" t="n">
        <v>3</v>
      </c>
      <c r="B13" s="79" t="s">
        <v>88</v>
      </c>
      <c r="C13" s="79" t="s">
        <v>79</v>
      </c>
      <c r="D13" s="80" t="s">
        <v>89</v>
      </c>
      <c r="E13" s="81" t="s">
        <v>90</v>
      </c>
      <c r="F13" s="82" t="s">
        <v>90</v>
      </c>
      <c r="G13" s="82" t="s">
        <v>91</v>
      </c>
      <c r="H13" s="83" t="s">
        <v>83</v>
      </c>
    </row>
    <row r="14" customFormat="false" ht="13.5" hidden="false" customHeight="true" outlineLevel="0" collapsed="false">
      <c r="A14" s="78" t="n">
        <v>4</v>
      </c>
      <c r="B14" s="79" t="s">
        <v>92</v>
      </c>
      <c r="C14" s="79" t="s">
        <v>79</v>
      </c>
      <c r="D14" s="80" t="s">
        <v>93</v>
      </c>
      <c r="E14" s="81" t="s">
        <v>94</v>
      </c>
      <c r="F14" s="82" t="s">
        <v>94</v>
      </c>
      <c r="G14" s="82" t="s">
        <v>95</v>
      </c>
      <c r="H14" s="83" t="s">
        <v>83</v>
      </c>
    </row>
    <row r="15" customFormat="false" ht="13.5" hidden="false" customHeight="true" outlineLevel="0" collapsed="false">
      <c r="A15" s="78" t="n">
        <v>5</v>
      </c>
      <c r="B15" s="79" t="s">
        <v>96</v>
      </c>
      <c r="C15" s="79" t="s">
        <v>79</v>
      </c>
      <c r="D15" s="80" t="s">
        <v>97</v>
      </c>
      <c r="E15" s="81" t="s">
        <v>98</v>
      </c>
      <c r="F15" s="82" t="s">
        <v>98</v>
      </c>
      <c r="G15" s="82" t="s">
        <v>99</v>
      </c>
      <c r="H15" s="83" t="s">
        <v>83</v>
      </c>
    </row>
    <row r="16" customFormat="false" ht="12.75" hidden="false" customHeight="true" outlineLevel="0" collapsed="false">
      <c r="A16" s="78"/>
      <c r="B16" s="79"/>
      <c r="C16" s="79"/>
      <c r="D16" s="80"/>
      <c r="E16" s="81"/>
      <c r="F16" s="84"/>
      <c r="G16" s="84"/>
      <c r="H16" s="83"/>
    </row>
    <row r="17" customFormat="false" ht="12.75" hidden="false" customHeight="true" outlineLevel="0" collapsed="false">
      <c r="A17" s="78"/>
      <c r="B17" s="79"/>
      <c r="C17" s="79"/>
      <c r="D17" s="80"/>
      <c r="E17" s="81"/>
      <c r="F17" s="84"/>
      <c r="G17" s="84"/>
      <c r="H17" s="83"/>
    </row>
    <row r="18" customFormat="false" ht="12.75" hidden="false" customHeight="true" outlineLevel="0" collapsed="false">
      <c r="A18" s="78"/>
      <c r="B18" s="79"/>
      <c r="C18" s="79"/>
      <c r="D18" s="80"/>
      <c r="E18" s="81"/>
      <c r="F18" s="84"/>
      <c r="G18" s="84"/>
      <c r="H18" s="83"/>
    </row>
    <row r="19" customFormat="false" ht="12.75" hidden="false" customHeight="true" outlineLevel="0" collapsed="false">
      <c r="A19" s="78"/>
      <c r="B19" s="79"/>
      <c r="C19" s="79"/>
      <c r="D19" s="80"/>
      <c r="E19" s="81"/>
      <c r="F19" s="84"/>
      <c r="G19" s="84"/>
      <c r="H19" s="83"/>
    </row>
    <row r="20" customFormat="false" ht="12.75" hidden="false" customHeight="true" outlineLevel="0" collapsed="false">
      <c r="A20" s="78"/>
      <c r="B20" s="79"/>
      <c r="C20" s="79"/>
      <c r="D20" s="80"/>
      <c r="E20" s="81"/>
      <c r="F20" s="84"/>
      <c r="G20" s="84"/>
      <c r="H20" s="83"/>
    </row>
    <row r="21" customFormat="false" ht="12.75" hidden="false" customHeight="true" outlineLevel="0" collapsed="false">
      <c r="A21" s="78"/>
      <c r="B21" s="79"/>
      <c r="C21" s="79"/>
      <c r="D21" s="80"/>
      <c r="E21" s="81"/>
      <c r="F21" s="84"/>
      <c r="G21" s="84"/>
      <c r="H21" s="83"/>
    </row>
    <row r="22" customFormat="false" ht="12.75" hidden="false" customHeight="true" outlineLevel="0" collapsed="false">
      <c r="A22" s="78"/>
      <c r="B22" s="79"/>
      <c r="C22" s="79"/>
      <c r="D22" s="80"/>
      <c r="E22" s="81"/>
      <c r="F22" s="84"/>
      <c r="G22" s="84"/>
      <c r="H22" s="83"/>
    </row>
    <row r="23" customFormat="false" ht="12.75" hidden="false" customHeight="true" outlineLevel="0" collapsed="false">
      <c r="A23" s="85"/>
      <c r="B23" s="86"/>
      <c r="C23" s="86"/>
      <c r="D23" s="87"/>
      <c r="E23" s="88"/>
      <c r="F23" s="89"/>
      <c r="G23" s="89"/>
      <c r="H23" s="90"/>
    </row>
  </sheetData>
  <mergeCells count="7">
    <mergeCell ref="A4:D4"/>
    <mergeCell ref="E4:H4"/>
    <mergeCell ref="A5:D5"/>
    <mergeCell ref="E5:H5"/>
    <mergeCell ref="A6:D6"/>
    <mergeCell ref="A7:D7"/>
    <mergeCell ref="E7:H7"/>
  </mergeCells>
  <hyperlinks>
    <hyperlink ref="F11" location="Function1!A1" display="Function1"/>
    <hyperlink ref="F12" location="Function2!A1" display="Function2"/>
    <hyperlink ref="F13" location="Function3!A1" display="Function3"/>
  </hyperlinks>
  <printOptions headings="false" gridLines="false" gridLinesSet="true" horizontalCentered="false" verticalCentered="false"/>
  <pageMargins left="0.65" right="0.65" top="0.75" bottom="0.7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&amp;L&amp;"Tahoma,Regular"&amp;8 02ae-BM/PM/HDCV/FSOFT v2/1&amp;C&amp;"Tahoma,Regular"&amp;8 Internal use&amp;R&amp;"Tahoma,Regular"&amp;8 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42" activeCellId="0" sqref="G42"/>
    </sheetView>
  </sheetViews>
  <sheetFormatPr defaultColWidth="8.99609375" defaultRowHeight="12.75" zeroHeight="false" outlineLevelRow="0" outlineLevelCol="0"/>
  <cols>
    <col collapsed="false" customWidth="true" hidden="false" outlineLevel="0" max="1" min="1" style="21" width="15.32"/>
    <col collapsed="false" customWidth="true" hidden="false" outlineLevel="0" max="2" min="2" style="21" width="26.66"/>
    <col collapsed="false" customWidth="true" hidden="false" outlineLevel="0" max="3" min="3" style="21" width="12.16"/>
    <col collapsed="false" customWidth="true" hidden="false" outlineLevel="0" max="4" min="4" style="21" width="9.66"/>
    <col collapsed="false" customWidth="true" hidden="false" outlineLevel="0" max="5" min="5" style="21" width="9.82"/>
    <col collapsed="false" customWidth="true" hidden="false" outlineLevel="0" max="8" min="6" style="21" width="5.16"/>
    <col collapsed="false" customWidth="true" hidden="false" outlineLevel="0" max="9" min="9" style="21" width="20.99"/>
    <col collapsed="false" customWidth="true" hidden="false" outlineLevel="0" max="10" min="10" style="21" width="33.16"/>
    <col collapsed="false" customWidth="false" hidden="false" outlineLevel="0" max="257" min="11" style="21" width="8.99"/>
  </cols>
  <sheetData>
    <row r="2" customFormat="false" ht="25.5" hidden="false" customHeight="true" outlineLevel="0" collapsed="false">
      <c r="A2" s="91" t="s">
        <v>100</v>
      </c>
      <c r="B2" s="91"/>
      <c r="C2" s="91"/>
      <c r="D2" s="91"/>
      <c r="E2" s="91"/>
      <c r="F2" s="91"/>
      <c r="G2" s="91"/>
      <c r="H2" s="91"/>
      <c r="I2" s="91"/>
    </row>
    <row r="3" customFormat="false" ht="14.25" hidden="false" customHeight="true" outlineLevel="0" collapsed="false">
      <c r="A3" s="92"/>
      <c r="I3" s="93"/>
    </row>
    <row r="4" customFormat="false" ht="13.5" hidden="false" customHeight="true" outlineLevel="0" collapsed="false">
      <c r="A4" s="94" t="s">
        <v>46</v>
      </c>
      <c r="B4" s="57" t="str">
        <f aca="false">Cover!B4</f>
        <v>Sales Management System</v>
      </c>
      <c r="C4" s="57"/>
      <c r="D4" s="22" t="s">
        <v>48</v>
      </c>
      <c r="E4" s="22"/>
      <c r="F4" s="95" t="s">
        <v>49</v>
      </c>
      <c r="G4" s="95"/>
      <c r="H4" s="95"/>
      <c r="I4" s="95"/>
    </row>
    <row r="5" customFormat="false" ht="13.5" hidden="false" customHeight="true" outlineLevel="0" collapsed="false">
      <c r="A5" s="94" t="s">
        <v>50</v>
      </c>
      <c r="B5" s="57" t="str">
        <f aca="false">Cover!B5</f>
        <v>SALES</v>
      </c>
      <c r="C5" s="57"/>
      <c r="D5" s="22" t="s">
        <v>101</v>
      </c>
      <c r="E5" s="22"/>
      <c r="F5" s="95"/>
      <c r="G5" s="95"/>
      <c r="H5" s="95"/>
      <c r="I5" s="95"/>
    </row>
    <row r="6" customFormat="false" ht="12.75" hidden="false" customHeight="true" outlineLevel="0" collapsed="false">
      <c r="A6" s="26" t="s">
        <v>53</v>
      </c>
      <c r="B6" s="57" t="str">
        <f aca="false">B5&amp;"_"&amp;"Test Report"&amp;"_"&amp;"v1.0"</f>
        <v>SALES_Test Report_v1.0</v>
      </c>
      <c r="C6" s="57"/>
      <c r="D6" s="22" t="s">
        <v>52</v>
      </c>
      <c r="E6" s="22"/>
      <c r="F6" s="96" t="n">
        <v>46300</v>
      </c>
      <c r="G6" s="96"/>
      <c r="H6" s="96"/>
      <c r="I6" s="96"/>
    </row>
    <row r="7" customFormat="false" ht="15.75" hidden="false" customHeight="true" outlineLevel="0" collapsed="false">
      <c r="A7" s="26" t="s">
        <v>102</v>
      </c>
      <c r="B7" s="97" t="s">
        <v>103</v>
      </c>
      <c r="C7" s="97"/>
      <c r="D7" s="97"/>
      <c r="E7" s="97"/>
      <c r="F7" s="97"/>
      <c r="G7" s="97"/>
      <c r="H7" s="97"/>
      <c r="I7" s="97"/>
    </row>
    <row r="8" customFormat="false" ht="14.25" hidden="false" customHeight="true" outlineLevel="0" collapsed="false">
      <c r="A8" s="98"/>
      <c r="B8" s="99"/>
      <c r="I8" s="93"/>
    </row>
    <row r="9" customFormat="false" ht="12.75" hidden="false" customHeight="true" outlineLevel="0" collapsed="false">
      <c r="A9" s="98"/>
      <c r="B9" s="99"/>
      <c r="I9" s="93"/>
    </row>
    <row r="10" customFormat="false" ht="12.75" hidden="false" customHeight="true" outlineLevel="0" collapsed="false"/>
    <row r="11" customFormat="false" ht="14.25" hidden="false" customHeight="true" outlineLevel="0" collapsed="false">
      <c r="A11" s="100" t="s">
        <v>70</v>
      </c>
      <c r="B11" s="101" t="s">
        <v>104</v>
      </c>
      <c r="C11" s="102" t="s">
        <v>105</v>
      </c>
      <c r="D11" s="101" t="s">
        <v>106</v>
      </c>
      <c r="E11" s="103" t="s">
        <v>107</v>
      </c>
      <c r="F11" s="103" t="s">
        <v>108</v>
      </c>
      <c r="G11" s="103" t="s">
        <v>63</v>
      </c>
      <c r="H11" s="103" t="s">
        <v>109</v>
      </c>
      <c r="I11" s="104" t="s">
        <v>110</v>
      </c>
    </row>
    <row r="12" customFormat="false" ht="12.75" hidden="false" customHeight="true" outlineLevel="0" collapsed="false">
      <c r="A12" s="105" t="n">
        <v>1</v>
      </c>
      <c r="B12" s="106" t="s">
        <v>81</v>
      </c>
      <c r="C12" s="107" t="n">
        <f aca="false">Function1!A7</f>
        <v>5</v>
      </c>
      <c r="D12" s="107" t="n">
        <f aca="false">Function1!C7</f>
        <v>0</v>
      </c>
      <c r="E12" s="107" t="n">
        <f aca="false">Function1!F7</f>
        <v>0</v>
      </c>
      <c r="F12" s="108" t="n">
        <f aca="false">Function1!L7</f>
        <v>3</v>
      </c>
      <c r="G12" s="107" t="n">
        <f aca="false">Function1!M7</f>
        <v>1</v>
      </c>
      <c r="H12" s="107" t="n">
        <f aca="false">Function1!N7</f>
        <v>1</v>
      </c>
      <c r="I12" s="107" t="n">
        <f aca="false">Function1!O7</f>
        <v>5</v>
      </c>
    </row>
    <row r="13" customFormat="false" ht="12.75" hidden="false" customHeight="true" outlineLevel="0" collapsed="false">
      <c r="A13" s="105" t="n">
        <v>2</v>
      </c>
      <c r="B13" s="106" t="s">
        <v>86</v>
      </c>
      <c r="C13" s="107" t="n">
        <f aca="false">Function2!A7</f>
        <v>13</v>
      </c>
      <c r="D13" s="107" t="n">
        <f aca="false">Function2!C7</f>
        <v>0</v>
      </c>
      <c r="E13" s="107" t="n">
        <f aca="false">Function2!F7</f>
        <v>0</v>
      </c>
      <c r="F13" s="108" t="n">
        <f aca="false">Function2!L7</f>
        <v>4</v>
      </c>
      <c r="G13" s="107" t="n">
        <f aca="false">Function2!M7</f>
        <v>2</v>
      </c>
      <c r="H13" s="107" t="n">
        <f aca="false">Function2!N7</f>
        <v>7</v>
      </c>
      <c r="I13" s="107" t="n">
        <f aca="false">Function2!O7</f>
        <v>13</v>
      </c>
    </row>
    <row r="14" customFormat="false" ht="12.75" hidden="false" customHeight="true" outlineLevel="0" collapsed="false">
      <c r="A14" s="105" t="n">
        <v>3</v>
      </c>
      <c r="B14" s="106" t="s">
        <v>90</v>
      </c>
      <c r="C14" s="107" t="n">
        <f aca="false">Function3!A7</f>
        <v>7</v>
      </c>
      <c r="D14" s="107" t="n">
        <f aca="false">Function3!C7</f>
        <v>0</v>
      </c>
      <c r="E14" s="107" t="n">
        <f aca="false">Function3!F7</f>
        <v>0</v>
      </c>
      <c r="F14" s="108" t="n">
        <f aca="false">Function3!L7</f>
        <v>2</v>
      </c>
      <c r="G14" s="107" t="n">
        <f aca="false">Function3!M7</f>
        <v>1</v>
      </c>
      <c r="H14" s="107" t="n">
        <f aca="false">Function3!N7</f>
        <v>4</v>
      </c>
      <c r="I14" s="107" t="n">
        <f aca="false">Function3!O7</f>
        <v>7</v>
      </c>
    </row>
    <row r="15" customFormat="false" ht="13.5" hidden="false" customHeight="true" outlineLevel="0" collapsed="false">
      <c r="A15" s="105" t="n">
        <v>4</v>
      </c>
      <c r="B15" s="106" t="s">
        <v>94</v>
      </c>
      <c r="C15" s="107" t="n">
        <f aca="false">Function4!A7</f>
        <v>7</v>
      </c>
      <c r="D15" s="107" t="n">
        <f aca="false">Function4!C7</f>
        <v>0</v>
      </c>
      <c r="E15" s="107" t="n">
        <f aca="false">Function4!F7</f>
        <v>0</v>
      </c>
      <c r="F15" s="108" t="n">
        <f aca="false">Function4!L7</f>
        <v>3</v>
      </c>
      <c r="G15" s="107" t="n">
        <f aca="false">Function4!M7</f>
        <v>1</v>
      </c>
      <c r="H15" s="107" t="n">
        <f aca="false">Function4!N7</f>
        <v>3</v>
      </c>
      <c r="I15" s="107" t="n">
        <f aca="false">Function4!O7</f>
        <v>7</v>
      </c>
    </row>
    <row r="16" customFormat="false" ht="13.5" hidden="false" customHeight="true" outlineLevel="0" collapsed="false">
      <c r="A16" s="105" t="n">
        <v>5</v>
      </c>
      <c r="B16" s="106" t="s">
        <v>98</v>
      </c>
      <c r="C16" s="107" t="n">
        <f aca="false">Function5!A7</f>
        <v>10</v>
      </c>
      <c r="D16" s="107" t="n">
        <f aca="false">Function5!C7</f>
        <v>0</v>
      </c>
      <c r="E16" s="107" t="n">
        <f aca="false">Function5!F7</f>
        <v>0</v>
      </c>
      <c r="F16" s="108" t="n">
        <f aca="false">Function5!L7</f>
        <v>4</v>
      </c>
      <c r="G16" s="107" t="n">
        <f aca="false">Function5!M7</f>
        <v>0</v>
      </c>
      <c r="H16" s="107" t="n">
        <f aca="false">Function5!N7</f>
        <v>6</v>
      </c>
      <c r="I16" s="107" t="n">
        <f aca="false">Function5!O7</f>
        <v>10</v>
      </c>
    </row>
    <row r="17" customFormat="false" ht="13.5" hidden="false" customHeight="true" outlineLevel="0" collapsed="false">
      <c r="A17" s="109"/>
      <c r="B17" s="110" t="s">
        <v>111</v>
      </c>
      <c r="C17" s="111" t="n">
        <f aca="false">SUM(C10:C16)</f>
        <v>42</v>
      </c>
      <c r="D17" s="111" t="n">
        <f aca="false">SUM(D10:D16)</f>
        <v>0</v>
      </c>
      <c r="E17" s="111" t="n">
        <f aca="false">SUM(E10:E16)</f>
        <v>0</v>
      </c>
      <c r="F17" s="111" t="n">
        <f aca="false">SUM(F10:F16)</f>
        <v>16</v>
      </c>
      <c r="G17" s="111" t="n">
        <f aca="false">SUM(G10:G16)</f>
        <v>5</v>
      </c>
      <c r="H17" s="111" t="n">
        <f aca="false">SUM(H10:H16)</f>
        <v>21</v>
      </c>
      <c r="I17" s="111" t="n">
        <f aca="false">SUM(I10:I16)</f>
        <v>42</v>
      </c>
    </row>
    <row r="18" customFormat="false" ht="12.75" hidden="false" customHeight="true" outlineLevel="0" collapsed="false">
      <c r="A18" s="112"/>
      <c r="C18" s="113"/>
      <c r="D18" s="114"/>
      <c r="E18" s="114"/>
      <c r="F18" s="114"/>
      <c r="G18" s="114"/>
      <c r="H18" s="114"/>
      <c r="I18" s="114"/>
    </row>
    <row r="19" customFormat="false" ht="12.75" hidden="false" customHeight="true" outlineLevel="0" collapsed="false">
      <c r="B19" s="115" t="s">
        <v>112</v>
      </c>
      <c r="D19" s="116" t="n">
        <f aca="false">(C17+D17)*100/(I17)</f>
        <v>100</v>
      </c>
      <c r="E19" s="21" t="s">
        <v>113</v>
      </c>
      <c r="I19" s="117"/>
    </row>
    <row r="20" customFormat="false" ht="12.75" hidden="false" customHeight="true" outlineLevel="0" collapsed="false">
      <c r="B20" s="115" t="s">
        <v>114</v>
      </c>
      <c r="D20" s="116" t="n">
        <f aca="false">C17*100/(I17)</f>
        <v>100</v>
      </c>
      <c r="E20" s="21" t="s">
        <v>113</v>
      </c>
      <c r="I20" s="117"/>
    </row>
    <row r="21" customFormat="false" ht="12.75" hidden="false" customHeight="true" outlineLevel="0" collapsed="false">
      <c r="B21" s="115" t="s">
        <v>115</v>
      </c>
      <c r="D21" s="116" t="n">
        <f aca="false">F17*100/I17</f>
        <v>38.0952380952381</v>
      </c>
      <c r="E21" s="21" t="s">
        <v>113</v>
      </c>
    </row>
    <row r="22" customFormat="false" ht="12.75" hidden="false" customHeight="true" outlineLevel="0" collapsed="false">
      <c r="B22" s="115" t="s">
        <v>116</v>
      </c>
      <c r="D22" s="116" t="n">
        <f aca="false">G17*100/I17</f>
        <v>11.9047619047619</v>
      </c>
      <c r="E22" s="21" t="s">
        <v>113</v>
      </c>
    </row>
    <row r="23" customFormat="false" ht="12.75" hidden="false" customHeight="true" outlineLevel="0" collapsed="false">
      <c r="B23" s="115" t="s">
        <v>117</v>
      </c>
      <c r="D23" s="116" t="n">
        <f aca="false">H17*100/I17</f>
        <v>50</v>
      </c>
      <c r="E23" s="21" t="s">
        <v>113</v>
      </c>
    </row>
  </sheetData>
  <mergeCells count="11">
    <mergeCell ref="A2:I2"/>
    <mergeCell ref="B4:C4"/>
    <mergeCell ref="D4:E4"/>
    <mergeCell ref="F4:I4"/>
    <mergeCell ref="B5:C5"/>
    <mergeCell ref="D5:E5"/>
    <mergeCell ref="F5:I5"/>
    <mergeCell ref="B6:C6"/>
    <mergeCell ref="D6:E6"/>
    <mergeCell ref="F6:I6"/>
    <mergeCell ref="B7:I7"/>
  </mergeCells>
  <hyperlinks>
    <hyperlink ref="B12" location="Function1!A1" display="Function1"/>
    <hyperlink ref="B13" location="Function2!A1" display="Function2"/>
    <hyperlink ref="B14" location="Function2!A1" display="Function3"/>
  </hyperlinks>
  <printOptions headings="false" gridLines="false" gridLinesSet="true" horizontalCentered="false" verticalCentered="false"/>
  <pageMargins left="0.65" right="0.65" top="0.75" bottom="0.75" header="0.511811023622047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&amp;L&amp;"Tahoma,Regular"&amp;8 02ae-BM/PM/HDCV/FSOFT v2/1&amp;C&amp;"Tahoma,Regular"&amp;8 Internal use&amp;R&amp;"Tahoma,Regular"&amp;8 &amp;P/&amp;N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0" activeCellId="0" sqref="A10"/>
    </sheetView>
  </sheetViews>
  <sheetFormatPr defaultColWidth="8.99609375" defaultRowHeight="13.5" zeroHeight="false" outlineLevelRow="0" outlineLevelCol="0"/>
  <cols>
    <col collapsed="false" customWidth="true" hidden="false" outlineLevel="0" max="1" min="1" style="118" width="8.16"/>
    <col collapsed="false" customWidth="true" hidden="false" outlineLevel="0" max="2" min="2" style="119" width="13.32"/>
    <col collapsed="false" customWidth="true" hidden="false" outlineLevel="0" max="3" min="3" style="118" width="10.82"/>
    <col collapsed="false" customWidth="true" hidden="false" outlineLevel="0" max="4" min="4" style="120" width="11.32"/>
    <col collapsed="false" customWidth="true" hidden="true" outlineLevel="0" max="5" min="5" style="118" width="1.82"/>
    <col collapsed="false" customWidth="true" hidden="false" outlineLevel="0" max="21" min="6" style="118" width="2.82"/>
    <col collapsed="false" customWidth="false" hidden="false" outlineLevel="0" max="257" min="22" style="118" width="8.99"/>
  </cols>
  <sheetData>
    <row r="1" customFormat="false" ht="13.5" hidden="false" customHeight="true" outlineLevel="0" collapsed="false">
      <c r="A1" s="121"/>
      <c r="B1" s="122"/>
    </row>
    <row r="2" customFormat="false" ht="13.5" hidden="false" customHeight="true" outlineLevel="0" collapsed="false">
      <c r="A2" s="123" t="s">
        <v>118</v>
      </c>
      <c r="B2" s="123"/>
      <c r="C2" s="124" t="str">
        <f aca="false">Functions!E11</f>
        <v>Function1</v>
      </c>
      <c r="D2" s="124"/>
      <c r="E2" s="124"/>
      <c r="F2" s="125" t="s">
        <v>73</v>
      </c>
      <c r="G2" s="125"/>
      <c r="H2" s="125"/>
      <c r="I2" s="125"/>
      <c r="J2" s="125"/>
      <c r="K2" s="125"/>
      <c r="L2" s="126" t="str">
        <f aca="false">Functions!D11</f>
        <v>calculateSubtotal(Product p)</v>
      </c>
      <c r="M2" s="126"/>
      <c r="N2" s="126"/>
      <c r="O2" s="126"/>
      <c r="P2" s="126"/>
      <c r="Q2" s="126"/>
      <c r="R2" s="126"/>
      <c r="S2" s="126"/>
      <c r="T2" s="126"/>
      <c r="V2" s="127"/>
    </row>
    <row r="3" customFormat="false" ht="13.5" hidden="false" customHeight="true" outlineLevel="0" collapsed="false">
      <c r="A3" s="128" t="s">
        <v>119</v>
      </c>
      <c r="B3" s="128"/>
      <c r="C3" s="129" t="s">
        <v>49</v>
      </c>
      <c r="D3" s="129"/>
      <c r="E3" s="129"/>
      <c r="F3" s="130" t="s">
        <v>120</v>
      </c>
      <c r="G3" s="130"/>
      <c r="H3" s="130"/>
      <c r="I3" s="130"/>
      <c r="J3" s="130"/>
      <c r="K3" s="130"/>
      <c r="L3" s="131" t="s">
        <v>49</v>
      </c>
      <c r="M3" s="131"/>
      <c r="N3" s="131"/>
      <c r="O3" s="132"/>
      <c r="P3" s="132"/>
      <c r="Q3" s="132"/>
      <c r="R3" s="132"/>
      <c r="S3" s="132"/>
      <c r="T3" s="133"/>
    </row>
    <row r="4" customFormat="false" ht="13.5" hidden="false" customHeight="true" outlineLevel="0" collapsed="false">
      <c r="A4" s="128" t="s">
        <v>121</v>
      </c>
      <c r="B4" s="128"/>
      <c r="C4" s="134" t="n">
        <v>7</v>
      </c>
      <c r="D4" s="134"/>
      <c r="E4" s="135"/>
      <c r="F4" s="130" t="s">
        <v>122</v>
      </c>
      <c r="G4" s="130"/>
      <c r="H4" s="130"/>
      <c r="I4" s="130"/>
      <c r="J4" s="130"/>
      <c r="K4" s="130"/>
      <c r="L4" s="136" t="n">
        <f aca="false">IF(Functions!E6&lt;&gt;"N/A",SUM(C4*Functions!E6/1000,-O7),"N/A")</f>
        <v>-4.3</v>
      </c>
      <c r="M4" s="136"/>
      <c r="N4" s="136"/>
      <c r="O4" s="136"/>
      <c r="P4" s="136"/>
      <c r="Q4" s="136"/>
      <c r="R4" s="136"/>
      <c r="S4" s="136"/>
      <c r="T4" s="136"/>
      <c r="V4" s="127"/>
    </row>
    <row r="5" customFormat="false" ht="13.5" hidden="false" customHeight="true" outlineLevel="0" collapsed="false">
      <c r="A5" s="128" t="s">
        <v>123</v>
      </c>
      <c r="B5" s="128"/>
      <c r="C5" s="137" t="s">
        <v>82</v>
      </c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</row>
    <row r="6" customFormat="false" ht="13.5" hidden="false" customHeight="true" outlineLevel="0" collapsed="false">
      <c r="A6" s="138" t="s">
        <v>105</v>
      </c>
      <c r="B6" s="138"/>
      <c r="C6" s="139" t="s">
        <v>106</v>
      </c>
      <c r="D6" s="139"/>
      <c r="E6" s="139"/>
      <c r="F6" s="139" t="s">
        <v>107</v>
      </c>
      <c r="G6" s="139"/>
      <c r="H6" s="139"/>
      <c r="I6" s="139"/>
      <c r="J6" s="139"/>
      <c r="K6" s="139"/>
      <c r="L6" s="140" t="s">
        <v>124</v>
      </c>
      <c r="M6" s="140"/>
      <c r="N6" s="140"/>
      <c r="O6" s="141" t="s">
        <v>110</v>
      </c>
      <c r="P6" s="141"/>
      <c r="Q6" s="141"/>
      <c r="R6" s="141"/>
      <c r="S6" s="141"/>
      <c r="T6" s="141"/>
      <c r="V6" s="127"/>
    </row>
    <row r="7" customFormat="false" ht="13.5" hidden="false" customHeight="true" outlineLevel="0" collapsed="false">
      <c r="A7" s="142" t="n">
        <f aca="false">COUNTIF(F48:HQ48,"P")</f>
        <v>5</v>
      </c>
      <c r="B7" s="142"/>
      <c r="C7" s="143" t="n">
        <f aca="false">COUNTIF(F48:HQ48,"F")</f>
        <v>0</v>
      </c>
      <c r="D7" s="143"/>
      <c r="E7" s="143"/>
      <c r="F7" s="143" t="n">
        <f aca="false">SUM(O7,-A7,-C7)</f>
        <v>0</v>
      </c>
      <c r="G7" s="143"/>
      <c r="H7" s="143"/>
      <c r="I7" s="143"/>
      <c r="J7" s="143"/>
      <c r="K7" s="143"/>
      <c r="L7" s="144" t="n">
        <f aca="false">COUNTIF(E47:HQ47,"N")</f>
        <v>3</v>
      </c>
      <c r="M7" s="144" t="n">
        <f aca="false">COUNTIF(E47:HQ47,"A")</f>
        <v>1</v>
      </c>
      <c r="N7" s="144" t="n">
        <f aca="false">COUNTIF(E47:HQ47,"B")</f>
        <v>1</v>
      </c>
      <c r="O7" s="145" t="n">
        <f aca="false">COUNTA(F9:HT9)</f>
        <v>5</v>
      </c>
      <c r="P7" s="145"/>
      <c r="Q7" s="145"/>
      <c r="R7" s="145"/>
      <c r="S7" s="145"/>
      <c r="T7" s="145"/>
      <c r="U7" s="146"/>
    </row>
    <row r="8" customFormat="false" ht="12" hidden="false" customHeight="true" outlineLevel="0" collapsed="false"/>
    <row r="9" customFormat="false" ht="46.5" hidden="false" customHeight="true" outlineLevel="0" collapsed="false">
      <c r="A9" s="147"/>
      <c r="B9" s="148"/>
      <c r="C9" s="149"/>
      <c r="D9" s="150"/>
      <c r="E9" s="149"/>
      <c r="F9" s="151" t="s">
        <v>125</v>
      </c>
      <c r="G9" s="151" t="s">
        <v>126</v>
      </c>
      <c r="H9" s="151" t="s">
        <v>127</v>
      </c>
      <c r="I9" s="151" t="s">
        <v>128</v>
      </c>
      <c r="J9" s="151" t="s">
        <v>129</v>
      </c>
      <c r="K9" s="151"/>
      <c r="L9" s="151"/>
      <c r="M9" s="151"/>
      <c r="N9" s="151"/>
      <c r="O9" s="151"/>
      <c r="P9" s="151"/>
      <c r="Q9" s="151"/>
      <c r="R9" s="151"/>
      <c r="S9" s="151"/>
      <c r="T9" s="152"/>
      <c r="U9" s="153"/>
      <c r="V9" s="127"/>
    </row>
    <row r="10" customFormat="false" ht="13.5" hidden="false" customHeight="true" outlineLevel="0" collapsed="false">
      <c r="A10" s="154" t="s">
        <v>130</v>
      </c>
      <c r="B10" s="155" t="s">
        <v>131</v>
      </c>
      <c r="C10" s="156"/>
      <c r="D10" s="157"/>
      <c r="E10" s="158"/>
      <c r="F10" s="159"/>
      <c r="G10" s="159"/>
      <c r="H10" s="159"/>
      <c r="I10" s="159"/>
      <c r="J10" s="159"/>
      <c r="K10" s="159"/>
      <c r="L10" s="159"/>
      <c r="M10" s="159"/>
      <c r="N10" s="159"/>
      <c r="O10" s="159"/>
      <c r="P10" s="159"/>
      <c r="Q10" s="159"/>
      <c r="R10" s="159"/>
      <c r="S10" s="159"/>
      <c r="T10" s="160"/>
    </row>
    <row r="11" customFormat="false" ht="13.5" hidden="false" customHeight="true" outlineLevel="0" collapsed="false">
      <c r="A11" s="161"/>
      <c r="B11" s="162"/>
      <c r="C11" s="163"/>
      <c r="D11" s="164" t="s">
        <v>132</v>
      </c>
      <c r="E11" s="165"/>
      <c r="F11" s="166"/>
      <c r="G11" s="166"/>
      <c r="H11" s="166"/>
      <c r="I11" s="166"/>
      <c r="J11" s="166"/>
      <c r="K11" s="166"/>
      <c r="L11" s="166"/>
      <c r="M11" s="166"/>
      <c r="N11" s="166"/>
      <c r="O11" s="166"/>
      <c r="P11" s="166"/>
      <c r="Q11" s="166"/>
      <c r="R11" s="166"/>
      <c r="S11" s="166"/>
      <c r="T11" s="167"/>
      <c r="V11" s="127"/>
    </row>
    <row r="12" customFormat="false" ht="13.5" hidden="false" customHeight="true" outlineLevel="0" collapsed="false">
      <c r="A12" s="161"/>
      <c r="B12" s="162" t="s">
        <v>133</v>
      </c>
      <c r="C12" s="163"/>
      <c r="D12" s="164"/>
      <c r="E12" s="165"/>
      <c r="F12" s="166"/>
      <c r="G12" s="166"/>
      <c r="H12" s="166"/>
      <c r="I12" s="166"/>
      <c r="J12" s="166"/>
      <c r="K12" s="166"/>
      <c r="L12" s="166"/>
      <c r="M12" s="166"/>
      <c r="N12" s="166"/>
      <c r="O12" s="166"/>
      <c r="P12" s="166"/>
      <c r="Q12" s="166"/>
      <c r="R12" s="166"/>
      <c r="S12" s="166"/>
      <c r="T12" s="167"/>
    </row>
    <row r="13" customFormat="false" ht="13.5" hidden="false" customHeight="true" outlineLevel="0" collapsed="false">
      <c r="A13" s="161"/>
      <c r="B13" s="162"/>
      <c r="C13" s="163"/>
      <c r="D13" s="164" t="n">
        <v>500</v>
      </c>
      <c r="E13" s="165"/>
      <c r="F13" s="166" t="s">
        <v>134</v>
      </c>
      <c r="G13" s="166"/>
      <c r="H13" s="166"/>
      <c r="I13" s="166"/>
      <c r="J13" s="166"/>
      <c r="K13" s="166"/>
      <c r="L13" s="166"/>
      <c r="M13" s="166"/>
      <c r="N13" s="166"/>
      <c r="O13" s="166"/>
      <c r="P13" s="166"/>
      <c r="Q13" s="166"/>
      <c r="R13" s="166"/>
      <c r="S13" s="166"/>
      <c r="T13" s="167"/>
    </row>
    <row r="14" customFormat="false" ht="13.5" hidden="false" customHeight="true" outlineLevel="0" collapsed="false">
      <c r="A14" s="161"/>
      <c r="B14" s="162"/>
      <c r="C14" s="163"/>
      <c r="D14" s="164" t="n">
        <v>100</v>
      </c>
      <c r="E14" s="165"/>
      <c r="F14" s="166"/>
      <c r="G14" s="166" t="s">
        <v>134</v>
      </c>
      <c r="H14" s="166"/>
      <c r="I14" s="166"/>
      <c r="J14" s="166"/>
      <c r="K14" s="166"/>
      <c r="L14" s="166"/>
      <c r="M14" s="166"/>
      <c r="N14" s="166"/>
      <c r="O14" s="166"/>
      <c r="P14" s="166"/>
      <c r="Q14" s="166"/>
      <c r="R14" s="166"/>
      <c r="S14" s="166"/>
      <c r="T14" s="167"/>
    </row>
    <row r="15" customFormat="false" ht="13.5" hidden="false" customHeight="true" outlineLevel="0" collapsed="false">
      <c r="A15" s="161"/>
      <c r="B15" s="162"/>
      <c r="C15" s="163"/>
      <c r="D15" s="164" t="n">
        <v>1999.5</v>
      </c>
      <c r="E15" s="165"/>
      <c r="F15" s="166"/>
      <c r="G15" s="166"/>
      <c r="H15" s="166" t="s">
        <v>134</v>
      </c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customFormat="false" ht="13.5" hidden="false" customHeight="true" outlineLevel="0" collapsed="false">
      <c r="A16" s="161"/>
      <c r="B16" s="162"/>
      <c r="C16" s="163"/>
      <c r="D16" s="164" t="n">
        <v>2000</v>
      </c>
      <c r="E16" s="165"/>
      <c r="F16" s="166"/>
      <c r="G16" s="166"/>
      <c r="H16" s="166"/>
      <c r="I16" s="166" t="s">
        <v>134</v>
      </c>
      <c r="J16" s="166"/>
      <c r="K16" s="166"/>
      <c r="L16" s="166"/>
      <c r="M16" s="166"/>
      <c r="N16" s="166"/>
      <c r="O16" s="166"/>
      <c r="P16" s="166"/>
      <c r="Q16" s="166"/>
      <c r="R16" s="166"/>
      <c r="S16" s="166"/>
      <c r="T16" s="167"/>
    </row>
    <row r="17" customFormat="false" ht="13.5" hidden="false" customHeight="true" outlineLevel="0" collapsed="false">
      <c r="A17" s="161"/>
      <c r="B17" s="162" t="s">
        <v>135</v>
      </c>
      <c r="C17" s="163"/>
      <c r="D17" s="164"/>
      <c r="E17" s="165"/>
      <c r="F17" s="166"/>
      <c r="G17" s="166"/>
      <c r="H17" s="166"/>
      <c r="I17" s="166"/>
      <c r="J17" s="166"/>
      <c r="K17" s="166"/>
      <c r="L17" s="166"/>
      <c r="M17" s="166"/>
      <c r="N17" s="166"/>
      <c r="O17" s="166"/>
      <c r="P17" s="166"/>
      <c r="Q17" s="166"/>
      <c r="R17" s="166"/>
      <c r="S17" s="166"/>
      <c r="T17" s="167"/>
      <c r="U17" s="168"/>
    </row>
    <row r="18" customFormat="false" ht="13.5" hidden="false" customHeight="true" outlineLevel="0" collapsed="false">
      <c r="A18" s="161"/>
      <c r="B18" s="162"/>
      <c r="C18" s="163"/>
      <c r="D18" s="164" t="n">
        <v>2</v>
      </c>
      <c r="E18" s="165"/>
      <c r="F18" s="166" t="s">
        <v>134</v>
      </c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166"/>
      <c r="T18" s="167"/>
      <c r="U18" s="168"/>
    </row>
    <row r="19" customFormat="false" ht="13.5" hidden="false" customHeight="true" outlineLevel="0" collapsed="false">
      <c r="A19" s="161"/>
      <c r="B19" s="162"/>
      <c r="C19" s="163"/>
      <c r="D19" s="164" t="n">
        <v>1</v>
      </c>
      <c r="E19" s="165"/>
      <c r="F19" s="166"/>
      <c r="G19" s="166" t="s">
        <v>134</v>
      </c>
      <c r="H19" s="166"/>
      <c r="I19" s="166"/>
      <c r="J19" s="166"/>
      <c r="K19" s="166"/>
      <c r="L19" s="166"/>
      <c r="M19" s="166"/>
      <c r="N19" s="166"/>
      <c r="O19" s="166"/>
      <c r="P19" s="166"/>
      <c r="Q19" s="166"/>
      <c r="R19" s="166"/>
      <c r="S19" s="166"/>
      <c r="T19" s="167"/>
    </row>
    <row r="20" customFormat="false" ht="13.5" hidden="false" customHeight="true" outlineLevel="0" collapsed="false">
      <c r="A20" s="161"/>
      <c r="B20" s="162"/>
      <c r="C20" s="163"/>
      <c r="D20" s="164" t="n">
        <v>3</v>
      </c>
      <c r="E20" s="165"/>
      <c r="F20" s="166"/>
      <c r="G20" s="166"/>
      <c r="H20" s="166" t="s">
        <v>134</v>
      </c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167"/>
    </row>
    <row r="21" customFormat="false" ht="13.5" hidden="false" customHeight="true" outlineLevel="0" collapsed="false">
      <c r="A21" s="161"/>
      <c r="B21" s="162"/>
      <c r="C21" s="163"/>
      <c r="D21" s="164" t="n">
        <v>5</v>
      </c>
      <c r="E21" s="165"/>
      <c r="F21" s="166"/>
      <c r="G21" s="166"/>
      <c r="H21" s="166"/>
      <c r="I21" s="166" t="s">
        <v>134</v>
      </c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67"/>
    </row>
    <row r="22" customFormat="false" ht="13.5" hidden="false" customHeight="true" outlineLevel="0" collapsed="false">
      <c r="A22" s="161"/>
      <c r="B22" s="162" t="s">
        <v>136</v>
      </c>
      <c r="C22" s="163"/>
      <c r="D22" s="164"/>
      <c r="E22" s="165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67"/>
    </row>
    <row r="23" customFormat="false" ht="13.5" hidden="false" customHeight="true" outlineLevel="0" collapsed="false">
      <c r="A23" s="161"/>
      <c r="B23" s="162"/>
      <c r="C23" s="163"/>
      <c r="D23" s="164" t="s">
        <v>137</v>
      </c>
      <c r="E23" s="165"/>
      <c r="F23" s="166"/>
      <c r="G23" s="166"/>
      <c r="H23" s="166"/>
      <c r="I23" s="166"/>
      <c r="J23" s="166" t="s">
        <v>134</v>
      </c>
      <c r="K23" s="166"/>
      <c r="L23" s="166"/>
      <c r="M23" s="166"/>
      <c r="N23" s="166"/>
      <c r="O23" s="166"/>
      <c r="P23" s="166"/>
      <c r="Q23" s="166"/>
      <c r="R23" s="166"/>
      <c r="S23" s="166"/>
      <c r="T23" s="167"/>
    </row>
    <row r="24" customFormat="false" ht="13.5" hidden="false" customHeight="true" outlineLevel="0" collapsed="false">
      <c r="A24" s="161" t="s">
        <v>138</v>
      </c>
      <c r="B24" s="162" t="s">
        <v>139</v>
      </c>
      <c r="C24" s="163"/>
      <c r="D24" s="164"/>
      <c r="E24" s="165"/>
      <c r="F24" s="166"/>
      <c r="G24" s="166"/>
      <c r="H24" s="166"/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166"/>
      <c r="T24" s="167"/>
    </row>
    <row r="25" customFormat="false" ht="13.5" hidden="false" customHeight="true" outlineLevel="0" collapsed="false">
      <c r="A25" s="161"/>
      <c r="B25" s="162"/>
      <c r="C25" s="163"/>
      <c r="D25" s="164" t="n">
        <v>1000</v>
      </c>
      <c r="E25" s="165"/>
      <c r="F25" s="166" t="s">
        <v>134</v>
      </c>
      <c r="G25" s="166"/>
      <c r="H25" s="166"/>
      <c r="I25" s="166"/>
      <c r="J25" s="166"/>
      <c r="K25" s="166"/>
      <c r="L25" s="166"/>
      <c r="M25" s="166"/>
      <c r="N25" s="166"/>
      <c r="O25" s="166"/>
      <c r="P25" s="166"/>
      <c r="Q25" s="166"/>
      <c r="R25" s="166"/>
      <c r="S25" s="166"/>
      <c r="T25" s="167"/>
    </row>
    <row r="26" customFormat="false" ht="13.5" hidden="false" customHeight="true" outlineLevel="0" collapsed="false">
      <c r="A26" s="161"/>
      <c r="B26" s="162"/>
      <c r="C26" s="163"/>
      <c r="D26" s="164" t="n">
        <v>100</v>
      </c>
      <c r="E26" s="165"/>
      <c r="F26" s="166"/>
      <c r="G26" s="166" t="s">
        <v>134</v>
      </c>
      <c r="H26" s="166"/>
      <c r="I26" s="166"/>
      <c r="J26" s="166"/>
      <c r="K26" s="166"/>
      <c r="L26" s="166"/>
      <c r="M26" s="166"/>
      <c r="N26" s="166"/>
      <c r="O26" s="166"/>
      <c r="P26" s="166"/>
      <c r="Q26" s="166"/>
      <c r="R26" s="166"/>
      <c r="S26" s="166"/>
      <c r="T26" s="167"/>
    </row>
    <row r="27" customFormat="false" ht="13.5" hidden="false" customHeight="true" outlineLevel="0" collapsed="false">
      <c r="A27" s="161"/>
      <c r="B27" s="162"/>
      <c r="C27" s="163"/>
      <c r="D27" s="164" t="n">
        <v>5998.5</v>
      </c>
      <c r="E27" s="165"/>
      <c r="F27" s="166"/>
      <c r="G27" s="166"/>
      <c r="H27" s="166" t="s">
        <v>134</v>
      </c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167"/>
    </row>
    <row r="28" customFormat="false" ht="13.5" hidden="false" customHeight="true" outlineLevel="0" collapsed="false">
      <c r="A28" s="161"/>
      <c r="B28" s="162"/>
      <c r="C28" s="163"/>
      <c r="D28" s="164" t="n">
        <v>10000</v>
      </c>
      <c r="E28" s="165"/>
      <c r="F28" s="166"/>
      <c r="G28" s="166"/>
      <c r="H28" s="166"/>
      <c r="I28" s="166" t="s">
        <v>134</v>
      </c>
      <c r="J28" s="166"/>
      <c r="K28" s="166"/>
      <c r="L28" s="166"/>
      <c r="M28" s="166"/>
      <c r="N28" s="166"/>
      <c r="O28" s="166"/>
      <c r="P28" s="166"/>
      <c r="Q28" s="166"/>
      <c r="R28" s="166"/>
      <c r="S28" s="166"/>
      <c r="T28" s="167"/>
    </row>
    <row r="29" customFormat="false" ht="13.5" hidden="false" customHeight="true" outlineLevel="0" collapsed="false">
      <c r="A29" s="161"/>
      <c r="B29" s="162" t="s">
        <v>140</v>
      </c>
      <c r="C29" s="163"/>
      <c r="D29" s="164"/>
      <c r="E29" s="165"/>
      <c r="F29" s="166"/>
      <c r="G29" s="166"/>
      <c r="H29" s="166"/>
      <c r="I29" s="166"/>
      <c r="J29" s="166"/>
      <c r="K29" s="166"/>
      <c r="L29" s="166"/>
      <c r="M29" s="166"/>
      <c r="N29" s="166"/>
      <c r="O29" s="166"/>
      <c r="P29" s="166"/>
      <c r="Q29" s="166"/>
      <c r="R29" s="166"/>
      <c r="S29" s="166"/>
      <c r="T29" s="167"/>
    </row>
    <row r="30" customFormat="false" ht="13.5" hidden="false" customHeight="true" outlineLevel="0" collapsed="false">
      <c r="A30" s="161"/>
      <c r="B30" s="162"/>
      <c r="C30" s="163"/>
      <c r="D30" s="164" t="s">
        <v>141</v>
      </c>
      <c r="E30" s="165"/>
      <c r="F30" s="166"/>
      <c r="G30" s="166"/>
      <c r="H30" s="166"/>
      <c r="I30" s="166"/>
      <c r="J30" s="166" t="s">
        <v>134</v>
      </c>
      <c r="K30" s="166"/>
      <c r="L30" s="166"/>
      <c r="M30" s="166"/>
      <c r="N30" s="166"/>
      <c r="O30" s="166"/>
      <c r="P30" s="166"/>
      <c r="Q30" s="166"/>
      <c r="R30" s="166"/>
      <c r="S30" s="166"/>
      <c r="T30" s="167"/>
    </row>
    <row r="31" customFormat="false" ht="13.5" hidden="false" customHeight="true" outlineLevel="0" collapsed="false">
      <c r="A31" s="161"/>
      <c r="B31" s="162" t="s">
        <v>142</v>
      </c>
      <c r="C31" s="163"/>
      <c r="D31" s="164"/>
      <c r="E31" s="165"/>
      <c r="F31" s="166"/>
      <c r="G31" s="166"/>
      <c r="H31" s="166"/>
      <c r="I31" s="166"/>
      <c r="J31" s="166"/>
      <c r="K31" s="166"/>
      <c r="L31" s="166"/>
      <c r="M31" s="166"/>
      <c r="N31" s="166"/>
      <c r="O31" s="166"/>
      <c r="P31" s="166"/>
      <c r="Q31" s="166"/>
      <c r="R31" s="166"/>
      <c r="S31" s="166"/>
      <c r="T31" s="167"/>
    </row>
    <row r="32" customFormat="false" ht="13.5" hidden="false" customHeight="true" outlineLevel="0" collapsed="false">
      <c r="A32" s="161"/>
      <c r="B32" s="162"/>
      <c r="C32" s="163"/>
      <c r="D32" s="164" t="s">
        <v>143</v>
      </c>
      <c r="E32" s="165"/>
      <c r="F32" s="166"/>
      <c r="G32" s="166"/>
      <c r="H32" s="166"/>
      <c r="I32" s="166"/>
      <c r="J32" s="166" t="s">
        <v>134</v>
      </c>
      <c r="K32" s="166"/>
      <c r="L32" s="166"/>
      <c r="M32" s="166"/>
      <c r="N32" s="166"/>
      <c r="O32" s="166"/>
      <c r="P32" s="166"/>
      <c r="Q32" s="166"/>
      <c r="R32" s="166"/>
      <c r="S32" s="166"/>
      <c r="T32" s="167"/>
    </row>
    <row r="33" customFormat="false" ht="13.5" hidden="false" customHeight="true" outlineLevel="0" collapsed="false">
      <c r="A33" s="161"/>
      <c r="B33" s="162"/>
      <c r="C33" s="163"/>
      <c r="D33" s="164"/>
      <c r="E33" s="165"/>
      <c r="F33" s="166"/>
      <c r="G33" s="166"/>
      <c r="H33" s="166"/>
      <c r="I33" s="166"/>
      <c r="J33" s="166"/>
      <c r="K33" s="166"/>
      <c r="L33" s="166"/>
      <c r="M33" s="166"/>
      <c r="N33" s="166"/>
      <c r="O33" s="166"/>
      <c r="P33" s="166"/>
      <c r="Q33" s="166"/>
      <c r="R33" s="166"/>
      <c r="S33" s="166"/>
      <c r="T33" s="167"/>
    </row>
    <row r="34" customFormat="false" ht="13.5" hidden="false" customHeight="true" outlineLevel="0" collapsed="false">
      <c r="A34" s="161"/>
      <c r="B34" s="162"/>
      <c r="C34" s="163"/>
      <c r="D34" s="164"/>
      <c r="E34" s="165"/>
      <c r="F34" s="166"/>
      <c r="G34" s="166"/>
      <c r="H34" s="166"/>
      <c r="I34" s="166"/>
      <c r="J34" s="166"/>
      <c r="K34" s="166"/>
      <c r="L34" s="166"/>
      <c r="M34" s="166"/>
      <c r="N34" s="166"/>
      <c r="O34" s="166"/>
      <c r="P34" s="166"/>
      <c r="Q34" s="166"/>
      <c r="R34" s="166"/>
      <c r="S34" s="166"/>
      <c r="T34" s="167"/>
    </row>
    <row r="35" customFormat="false" ht="13.5" hidden="false" customHeight="true" outlineLevel="0" collapsed="false">
      <c r="A35" s="161"/>
      <c r="B35" s="162"/>
      <c r="C35" s="163"/>
      <c r="D35" s="164"/>
      <c r="E35" s="165"/>
      <c r="F35" s="166"/>
      <c r="G35" s="166"/>
      <c r="H35" s="166"/>
      <c r="I35" s="166"/>
      <c r="J35" s="166"/>
      <c r="K35" s="166"/>
      <c r="L35" s="166"/>
      <c r="M35" s="166"/>
      <c r="N35" s="166"/>
      <c r="O35" s="166"/>
      <c r="P35" s="166"/>
      <c r="Q35" s="166"/>
      <c r="R35" s="166"/>
      <c r="S35" s="166"/>
      <c r="T35" s="167"/>
    </row>
    <row r="36" customFormat="false" ht="13.5" hidden="false" customHeight="true" outlineLevel="0" collapsed="false">
      <c r="A36" s="161"/>
      <c r="B36" s="162"/>
      <c r="C36" s="163"/>
      <c r="D36" s="164"/>
      <c r="E36" s="165"/>
      <c r="F36" s="166"/>
      <c r="G36" s="166"/>
      <c r="H36" s="166"/>
      <c r="I36" s="166"/>
      <c r="J36" s="166"/>
      <c r="K36" s="166"/>
      <c r="L36" s="166"/>
      <c r="M36" s="166"/>
      <c r="N36" s="166"/>
      <c r="O36" s="166"/>
      <c r="P36" s="166"/>
      <c r="Q36" s="166"/>
      <c r="R36" s="166"/>
      <c r="S36" s="166"/>
      <c r="T36" s="167"/>
    </row>
    <row r="37" customFormat="false" ht="13.5" hidden="false" customHeight="true" outlineLevel="0" collapsed="false">
      <c r="A37" s="161"/>
      <c r="B37" s="162"/>
      <c r="C37" s="163"/>
      <c r="D37" s="164"/>
      <c r="E37" s="165"/>
      <c r="F37" s="166"/>
      <c r="G37" s="166"/>
      <c r="H37" s="166"/>
      <c r="I37" s="166"/>
      <c r="J37" s="166"/>
      <c r="K37" s="166"/>
      <c r="L37" s="166"/>
      <c r="M37" s="166"/>
      <c r="N37" s="166"/>
      <c r="O37" s="166"/>
      <c r="P37" s="166"/>
      <c r="Q37" s="166"/>
      <c r="R37" s="166"/>
      <c r="S37" s="166"/>
      <c r="T37" s="167"/>
    </row>
    <row r="38" customFormat="false" ht="13.5" hidden="false" customHeight="true" outlineLevel="0" collapsed="false">
      <c r="A38" s="161"/>
      <c r="B38" s="162"/>
      <c r="C38" s="163"/>
      <c r="D38" s="164"/>
      <c r="E38" s="165"/>
      <c r="F38" s="166"/>
      <c r="G38" s="166"/>
      <c r="H38" s="166"/>
      <c r="I38" s="166"/>
      <c r="J38" s="166"/>
      <c r="K38" s="166"/>
      <c r="L38" s="166"/>
      <c r="M38" s="166"/>
      <c r="N38" s="166"/>
      <c r="O38" s="166"/>
      <c r="P38" s="166"/>
      <c r="Q38" s="166"/>
      <c r="R38" s="166"/>
      <c r="S38" s="166"/>
      <c r="T38" s="167"/>
    </row>
    <row r="39" customFormat="false" ht="13.5" hidden="false" customHeight="true" outlineLevel="0" collapsed="false">
      <c r="A39" s="161"/>
      <c r="B39" s="162"/>
      <c r="C39" s="163"/>
      <c r="D39" s="164"/>
      <c r="E39" s="165"/>
      <c r="F39" s="166"/>
      <c r="G39" s="166"/>
      <c r="H39" s="166"/>
      <c r="I39" s="166"/>
      <c r="J39" s="166"/>
      <c r="K39" s="166"/>
      <c r="L39" s="166"/>
      <c r="M39" s="166"/>
      <c r="N39" s="166"/>
      <c r="O39" s="166"/>
      <c r="P39" s="166"/>
      <c r="Q39" s="166"/>
      <c r="R39" s="166"/>
      <c r="S39" s="166"/>
      <c r="T39" s="167"/>
    </row>
    <row r="40" customFormat="false" ht="13.5" hidden="false" customHeight="true" outlineLevel="0" collapsed="false">
      <c r="A40" s="161"/>
      <c r="B40" s="162"/>
      <c r="C40" s="163"/>
      <c r="D40" s="164"/>
      <c r="E40" s="165"/>
      <c r="F40" s="166"/>
      <c r="G40" s="166"/>
      <c r="H40" s="166"/>
      <c r="I40" s="166"/>
      <c r="J40" s="166"/>
      <c r="K40" s="166"/>
      <c r="L40" s="166"/>
      <c r="M40" s="166"/>
      <c r="N40" s="166"/>
      <c r="O40" s="166"/>
      <c r="P40" s="166"/>
      <c r="Q40" s="166"/>
      <c r="R40" s="166"/>
      <c r="S40" s="166"/>
      <c r="T40" s="167"/>
    </row>
    <row r="41" customFormat="false" ht="13.5" hidden="false" customHeight="true" outlineLevel="0" collapsed="false">
      <c r="A41" s="161"/>
      <c r="B41" s="162"/>
      <c r="C41" s="163"/>
      <c r="D41" s="164"/>
      <c r="E41" s="165"/>
      <c r="F41" s="166"/>
      <c r="G41" s="166"/>
      <c r="H41" s="166"/>
      <c r="I41" s="166"/>
      <c r="J41" s="166"/>
      <c r="K41" s="166"/>
      <c r="L41" s="166"/>
      <c r="M41" s="166"/>
      <c r="N41" s="166"/>
      <c r="O41" s="166"/>
      <c r="P41" s="166"/>
      <c r="Q41" s="166"/>
      <c r="R41" s="166"/>
      <c r="S41" s="166"/>
      <c r="T41" s="167"/>
    </row>
    <row r="42" customFormat="false" ht="79.5" hidden="false" customHeight="true" outlineLevel="0" collapsed="false">
      <c r="A42" s="161"/>
      <c r="B42" s="162"/>
      <c r="C42" s="163"/>
      <c r="D42" s="164"/>
      <c r="E42" s="165"/>
      <c r="F42" s="166"/>
      <c r="G42" s="166"/>
      <c r="H42" s="166"/>
      <c r="I42" s="166"/>
      <c r="J42" s="166"/>
      <c r="K42" s="166"/>
      <c r="L42" s="166"/>
      <c r="M42" s="166"/>
      <c r="N42" s="166"/>
      <c r="O42" s="166"/>
      <c r="P42" s="166"/>
      <c r="Q42" s="166"/>
      <c r="R42" s="166"/>
      <c r="S42" s="166"/>
      <c r="T42" s="167"/>
    </row>
    <row r="43" customFormat="false" ht="12" hidden="false" customHeight="true" outlineLevel="0" collapsed="false">
      <c r="A43" s="161"/>
      <c r="B43" s="162"/>
      <c r="C43" s="163"/>
      <c r="D43" s="164"/>
      <c r="E43" s="165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7"/>
    </row>
    <row r="44" customFormat="false" ht="15" hidden="false" customHeight="false" outlineLevel="0" collapsed="false">
      <c r="A44" s="161"/>
      <c r="B44" s="162"/>
      <c r="C44" s="163"/>
      <c r="D44" s="164"/>
      <c r="E44" s="165"/>
      <c r="F44" s="166"/>
      <c r="G44" s="166"/>
      <c r="H44" s="166"/>
      <c r="I44" s="166"/>
      <c r="J44" s="166"/>
      <c r="K44" s="166"/>
      <c r="L44" s="166"/>
      <c r="M44" s="166"/>
      <c r="N44" s="166"/>
      <c r="O44" s="166"/>
      <c r="P44" s="166"/>
      <c r="Q44" s="166"/>
      <c r="R44" s="166"/>
      <c r="S44" s="166"/>
      <c r="T44" s="167"/>
    </row>
    <row r="45" customFormat="false" ht="15" hidden="false" customHeight="false" outlineLevel="0" collapsed="false">
      <c r="A45" s="161"/>
      <c r="B45" s="162"/>
      <c r="C45" s="163"/>
      <c r="D45" s="164"/>
      <c r="E45" s="165"/>
      <c r="F45" s="166"/>
      <c r="G45" s="166"/>
      <c r="H45" s="166"/>
      <c r="I45" s="166"/>
      <c r="J45" s="166"/>
      <c r="K45" s="166"/>
      <c r="L45" s="166"/>
      <c r="M45" s="166"/>
      <c r="N45" s="166"/>
      <c r="O45" s="166"/>
      <c r="P45" s="166"/>
      <c r="Q45" s="166"/>
      <c r="R45" s="166"/>
      <c r="S45" s="166"/>
      <c r="T45" s="167"/>
    </row>
    <row r="46" customFormat="false" ht="15" hidden="false" customHeight="false" outlineLevel="0" collapsed="false">
      <c r="A46" s="161"/>
      <c r="B46" s="162"/>
      <c r="C46" s="163"/>
      <c r="D46" s="164"/>
      <c r="E46" s="165"/>
      <c r="F46" s="166"/>
      <c r="G46" s="166"/>
      <c r="H46" s="166"/>
      <c r="I46" s="166"/>
      <c r="J46" s="166"/>
      <c r="K46" s="166"/>
      <c r="L46" s="166"/>
      <c r="M46" s="166"/>
      <c r="N46" s="166"/>
      <c r="O46" s="166"/>
      <c r="P46" s="166"/>
      <c r="Q46" s="166"/>
      <c r="R46" s="166"/>
      <c r="S46" s="166"/>
      <c r="T46" s="167"/>
    </row>
    <row r="47" customFormat="false" ht="13.5" hidden="false" customHeight="false" outlineLevel="0" collapsed="false">
      <c r="A47" s="169" t="s">
        <v>144</v>
      </c>
      <c r="B47" s="170" t="s">
        <v>145</v>
      </c>
      <c r="C47" s="170"/>
      <c r="D47" s="170"/>
      <c r="E47" s="170"/>
      <c r="F47" s="171" t="s">
        <v>108</v>
      </c>
      <c r="G47" s="171" t="s">
        <v>109</v>
      </c>
      <c r="H47" s="171" t="s">
        <v>108</v>
      </c>
      <c r="I47" s="171" t="s">
        <v>108</v>
      </c>
      <c r="J47" s="171" t="s">
        <v>63</v>
      </c>
      <c r="K47" s="171"/>
      <c r="L47" s="171"/>
      <c r="M47" s="171"/>
      <c r="N47" s="171"/>
      <c r="O47" s="171"/>
      <c r="P47" s="171"/>
      <c r="Q47" s="171"/>
      <c r="R47" s="171"/>
      <c r="S47" s="171"/>
      <c r="T47" s="172"/>
    </row>
    <row r="48" customFormat="false" ht="13.5" hidden="false" customHeight="false" outlineLevel="0" collapsed="false">
      <c r="A48" s="173"/>
      <c r="B48" s="174" t="s">
        <v>146</v>
      </c>
      <c r="C48" s="174"/>
      <c r="D48" s="174"/>
      <c r="E48" s="175"/>
      <c r="F48" s="176" t="s">
        <v>147</v>
      </c>
      <c r="G48" s="176" t="s">
        <v>147</v>
      </c>
      <c r="H48" s="176" t="s">
        <v>147</v>
      </c>
      <c r="I48" s="176" t="s">
        <v>147</v>
      </c>
      <c r="J48" s="176" t="s">
        <v>147</v>
      </c>
      <c r="K48" s="176"/>
      <c r="L48" s="176"/>
      <c r="M48" s="176"/>
      <c r="N48" s="176"/>
      <c r="O48" s="176"/>
      <c r="P48" s="176"/>
      <c r="Q48" s="176"/>
      <c r="R48" s="176"/>
      <c r="S48" s="176"/>
      <c r="T48" s="177"/>
    </row>
    <row r="49" customFormat="false" ht="98.5" hidden="false" customHeight="false" outlineLevel="0" collapsed="false">
      <c r="A49" s="173"/>
      <c r="B49" s="178" t="s">
        <v>148</v>
      </c>
      <c r="C49" s="178"/>
      <c r="D49" s="178"/>
      <c r="E49" s="179"/>
      <c r="F49" s="180" t="n">
        <v>46300</v>
      </c>
      <c r="G49" s="180" t="n">
        <v>46300</v>
      </c>
      <c r="H49" s="180" t="n">
        <v>46300</v>
      </c>
      <c r="I49" s="180" t="n">
        <v>46300</v>
      </c>
      <c r="J49" s="180" t="n">
        <v>46300</v>
      </c>
      <c r="K49" s="181"/>
      <c r="L49" s="181"/>
      <c r="M49" s="181"/>
      <c r="N49" s="181"/>
      <c r="O49" s="181"/>
      <c r="P49" s="181"/>
      <c r="Q49" s="181"/>
      <c r="R49" s="181"/>
      <c r="S49" s="181"/>
      <c r="T49" s="182"/>
    </row>
    <row r="50" customFormat="false" ht="30.55" hidden="false" customHeight="false" outlineLevel="0" collapsed="false">
      <c r="A50" s="183"/>
      <c r="B50" s="184" t="s">
        <v>149</v>
      </c>
      <c r="C50" s="184"/>
      <c r="D50" s="184"/>
      <c r="E50" s="185"/>
      <c r="F50" s="186" t="s">
        <v>150</v>
      </c>
      <c r="G50" s="186" t="s">
        <v>150</v>
      </c>
      <c r="H50" s="186" t="s">
        <v>150</v>
      </c>
      <c r="I50" s="186" t="s">
        <v>150</v>
      </c>
      <c r="J50" s="186"/>
      <c r="K50" s="186"/>
      <c r="L50" s="186"/>
      <c r="M50" s="186"/>
      <c r="N50" s="186"/>
      <c r="O50" s="186"/>
      <c r="P50" s="186"/>
      <c r="Q50" s="186"/>
      <c r="R50" s="186"/>
      <c r="S50" s="186"/>
      <c r="T50" s="187"/>
    </row>
    <row r="51" customFormat="false" ht="13.5" hidden="false" customHeight="false" outlineLevel="0" collapsed="false">
      <c r="A51" s="188"/>
    </row>
  </sheetData>
  <mergeCells count="27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47:D47"/>
    <mergeCell ref="B48:D48"/>
    <mergeCell ref="B49:D49"/>
    <mergeCell ref="B50:D50"/>
  </mergeCells>
  <dataValidations count="3">
    <dataValidation allowBlank="true" errorStyle="stop" operator="between" showDropDown="false" showErrorMessage="true" showInputMessage="false" sqref="F39:T39" type="list">
      <formula1>"N,A,B,"</formula1>
      <formula2>0</formula2>
    </dataValidation>
    <dataValidation allowBlank="true" errorStyle="stop" operator="between" showDropDown="false" showErrorMessage="true" showInputMessage="false" sqref="F40:T40" type="list">
      <formula1>"P,F,"</formula1>
      <formula2>0</formula2>
    </dataValidation>
    <dataValidation allowBlank="true" errorStyle="stop" operator="between" showDropDown="false" showErrorMessage="true" showInputMessage="false" sqref="F10:T38" type="list">
      <formula1>"O,"</formula1>
      <formula2>0</formula2>
    </dataValidation>
  </dataValidations>
  <printOptions headings="false" gridLines="false" gridLinesSet="true" horizontalCentered="false" verticalCentered="false"/>
  <pageMargins left="0.75" right="0.75" top="0.75" bottom="0.75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&amp;L&amp;"Tahoma,Regular"&amp;10 02ae-BM/PM/HDCV/FSOFT v2/1&amp;C&amp;"Tahoma,Regular"&amp;10 Internal use&amp;R&amp;"Tahoma,Regular"&amp;10 &amp;P/&amp;N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0" activeCellId="0" sqref="A10"/>
    </sheetView>
  </sheetViews>
  <sheetFormatPr defaultColWidth="8.99609375" defaultRowHeight="13.5" zeroHeight="false" outlineLevelRow="0" outlineLevelCol="0"/>
  <cols>
    <col collapsed="false" customWidth="true" hidden="false" outlineLevel="0" max="1" min="1" style="118" width="8.16"/>
    <col collapsed="false" customWidth="true" hidden="false" outlineLevel="0" max="2" min="2" style="119" width="13.32"/>
    <col collapsed="false" customWidth="true" hidden="false" outlineLevel="0" max="3" min="3" style="118" width="10.82"/>
    <col collapsed="false" customWidth="true" hidden="false" outlineLevel="0" max="4" min="4" style="120" width="11.32"/>
    <col collapsed="false" customWidth="true" hidden="true" outlineLevel="0" max="5" min="5" style="118" width="1.82"/>
    <col collapsed="false" customWidth="true" hidden="false" outlineLevel="0" max="21" min="6" style="118" width="2.82"/>
    <col collapsed="false" customWidth="false" hidden="false" outlineLevel="0" max="257" min="22" style="118" width="8.99"/>
  </cols>
  <sheetData>
    <row r="1" customFormat="false" ht="22.5" hidden="false" customHeight="true" outlineLevel="0" collapsed="false">
      <c r="D1" s="189"/>
    </row>
    <row r="2" customFormat="false" ht="15" hidden="false" customHeight="true" outlineLevel="0" collapsed="false">
      <c r="A2" s="190" t="s">
        <v>118</v>
      </c>
      <c r="B2" s="190"/>
      <c r="C2" s="124" t="str">
        <f aca="false">Functions!E12</f>
        <v>Function2</v>
      </c>
      <c r="D2" s="124"/>
      <c r="E2" s="191"/>
      <c r="F2" s="192" t="s">
        <v>73</v>
      </c>
      <c r="G2" s="192"/>
      <c r="H2" s="192"/>
      <c r="I2" s="192"/>
      <c r="J2" s="192"/>
      <c r="K2" s="192"/>
      <c r="L2" s="193" t="str">
        <f aca="false">Functions!D12</f>
        <v>calculateDiscount(double subtotal)</v>
      </c>
      <c r="M2" s="193"/>
      <c r="N2" s="193"/>
      <c r="O2" s="193"/>
      <c r="P2" s="193"/>
      <c r="Q2" s="193"/>
      <c r="R2" s="193"/>
      <c r="S2" s="193"/>
      <c r="T2" s="193"/>
    </row>
    <row r="3" customFormat="false" ht="13.5" hidden="false" customHeight="true" outlineLevel="0" collapsed="false">
      <c r="A3" s="194" t="s">
        <v>119</v>
      </c>
      <c r="B3" s="194"/>
      <c r="C3" s="129" t="s">
        <v>49</v>
      </c>
      <c r="D3" s="129"/>
      <c r="E3" s="129"/>
      <c r="F3" s="195" t="s">
        <v>120</v>
      </c>
      <c r="G3" s="195"/>
      <c r="H3" s="195"/>
      <c r="I3" s="195"/>
      <c r="J3" s="195"/>
      <c r="K3" s="195"/>
      <c r="L3" s="131" t="s">
        <v>49</v>
      </c>
      <c r="M3" s="131"/>
      <c r="N3" s="131"/>
      <c r="O3" s="132"/>
      <c r="P3" s="132"/>
      <c r="Q3" s="132"/>
      <c r="R3" s="132"/>
      <c r="S3" s="132"/>
      <c r="T3" s="133"/>
    </row>
    <row r="4" customFormat="false" ht="13.5" hidden="false" customHeight="true" outlineLevel="0" collapsed="false">
      <c r="A4" s="128" t="s">
        <v>121</v>
      </c>
      <c r="B4" s="128"/>
      <c r="C4" s="134" t="n">
        <v>15</v>
      </c>
      <c r="D4" s="134"/>
      <c r="E4" s="135"/>
      <c r="F4" s="130" t="s">
        <v>122</v>
      </c>
      <c r="G4" s="130"/>
      <c r="H4" s="130"/>
      <c r="I4" s="130"/>
      <c r="J4" s="130"/>
      <c r="K4" s="130"/>
      <c r="L4" s="136" t="n">
        <f aca="false">IF(Functions!E6&lt;&gt;"N/A",SUM(C4*Functions!E6/1000,-O7),"N/A")</f>
        <v>-11.5</v>
      </c>
      <c r="M4" s="136"/>
      <c r="N4" s="136"/>
      <c r="O4" s="136"/>
      <c r="P4" s="136"/>
      <c r="Q4" s="136"/>
      <c r="R4" s="136"/>
      <c r="S4" s="136"/>
      <c r="T4" s="136"/>
      <c r="V4" s="127"/>
    </row>
    <row r="5" customFormat="false" ht="13.5" hidden="false" customHeight="true" outlineLevel="0" collapsed="false">
      <c r="A5" s="128" t="s">
        <v>123</v>
      </c>
      <c r="B5" s="128"/>
      <c r="C5" s="137" t="s">
        <v>87</v>
      </c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</row>
    <row r="6" customFormat="false" ht="13.5" hidden="false" customHeight="true" outlineLevel="0" collapsed="false">
      <c r="A6" s="138" t="s">
        <v>105</v>
      </c>
      <c r="B6" s="138"/>
      <c r="C6" s="139" t="s">
        <v>106</v>
      </c>
      <c r="D6" s="139"/>
      <c r="E6" s="139"/>
      <c r="F6" s="139" t="s">
        <v>107</v>
      </c>
      <c r="G6" s="139"/>
      <c r="H6" s="139"/>
      <c r="I6" s="139"/>
      <c r="J6" s="139"/>
      <c r="K6" s="139"/>
      <c r="L6" s="140" t="s">
        <v>124</v>
      </c>
      <c r="M6" s="140"/>
      <c r="N6" s="140"/>
      <c r="O6" s="141" t="s">
        <v>110</v>
      </c>
      <c r="P6" s="141"/>
      <c r="Q6" s="141"/>
      <c r="R6" s="141"/>
      <c r="S6" s="141"/>
      <c r="T6" s="141"/>
      <c r="V6" s="127"/>
    </row>
    <row r="7" customFormat="false" ht="13.5" hidden="false" customHeight="true" outlineLevel="0" collapsed="false">
      <c r="A7" s="142" t="n">
        <f aca="false">COUNTIF(F48:HQ48,"P")</f>
        <v>13</v>
      </c>
      <c r="B7" s="142"/>
      <c r="C7" s="143" t="n">
        <f aca="false">COUNTIF(F48:HQ48,"F")</f>
        <v>0</v>
      </c>
      <c r="D7" s="143"/>
      <c r="E7" s="143"/>
      <c r="F7" s="143" t="n">
        <f aca="false">SUM(O7,-A7,-C7)</f>
        <v>0</v>
      </c>
      <c r="G7" s="143"/>
      <c r="H7" s="143"/>
      <c r="I7" s="143"/>
      <c r="J7" s="143"/>
      <c r="K7" s="143"/>
      <c r="L7" s="144" t="n">
        <f aca="false">COUNTIF(E47:HQ47,"N")</f>
        <v>4</v>
      </c>
      <c r="M7" s="144" t="n">
        <f aca="false">COUNTIF(E47:HQ47,"A")</f>
        <v>2</v>
      </c>
      <c r="N7" s="144" t="n">
        <f aca="false">COUNTIF(E47:HQ47,"B")</f>
        <v>7</v>
      </c>
      <c r="O7" s="145" t="n">
        <f aca="false">COUNTA(F9:HT9)</f>
        <v>13</v>
      </c>
      <c r="P7" s="145"/>
      <c r="Q7" s="145"/>
      <c r="R7" s="145"/>
      <c r="S7" s="145"/>
      <c r="T7" s="145"/>
      <c r="U7" s="146"/>
    </row>
    <row r="8" customFormat="false" ht="12" hidden="false" customHeight="true" outlineLevel="0" collapsed="false"/>
    <row r="9" customFormat="false" ht="45" hidden="false" customHeight="true" outlineLevel="0" collapsed="false">
      <c r="A9" s="196"/>
      <c r="B9" s="197"/>
      <c r="C9" s="198"/>
      <c r="D9" s="199"/>
      <c r="E9" s="198"/>
      <c r="F9" s="200" t="s">
        <v>151</v>
      </c>
      <c r="G9" s="200" t="s">
        <v>152</v>
      </c>
      <c r="H9" s="200" t="s">
        <v>153</v>
      </c>
      <c r="I9" s="200" t="s">
        <v>154</v>
      </c>
      <c r="J9" s="200" t="s">
        <v>155</v>
      </c>
      <c r="K9" s="200" t="s">
        <v>156</v>
      </c>
      <c r="L9" s="200" t="s">
        <v>157</v>
      </c>
      <c r="M9" s="200" t="s">
        <v>158</v>
      </c>
      <c r="N9" s="200" t="s">
        <v>159</v>
      </c>
      <c r="O9" s="200" t="s">
        <v>160</v>
      </c>
      <c r="P9" s="200" t="s">
        <v>161</v>
      </c>
      <c r="Q9" s="200" t="s">
        <v>162</v>
      </c>
      <c r="R9" s="200" t="s">
        <v>163</v>
      </c>
      <c r="S9" s="200"/>
      <c r="T9" s="201"/>
      <c r="U9" s="153"/>
      <c r="V9" s="127"/>
    </row>
    <row r="10" customFormat="false" ht="13.5" hidden="false" customHeight="true" outlineLevel="0" collapsed="false">
      <c r="A10" s="154" t="s">
        <v>130</v>
      </c>
      <c r="B10" s="162" t="s">
        <v>131</v>
      </c>
      <c r="C10" s="163"/>
      <c r="D10" s="164"/>
      <c r="E10" s="202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4"/>
    </row>
    <row r="11" customFormat="false" ht="13.5" hidden="false" customHeight="true" outlineLevel="0" collapsed="false">
      <c r="A11" s="161"/>
      <c r="B11" s="162"/>
      <c r="C11" s="163"/>
      <c r="D11" s="164" t="s">
        <v>132</v>
      </c>
      <c r="E11" s="165"/>
      <c r="F11" s="203"/>
      <c r="G11" s="203"/>
      <c r="H11" s="203"/>
      <c r="I11" s="203"/>
      <c r="J11" s="203"/>
      <c r="K11" s="203"/>
      <c r="L11" s="203"/>
      <c r="M11" s="203"/>
      <c r="N11" s="203"/>
      <c r="O11" s="203"/>
      <c r="P11" s="203"/>
      <c r="Q11" s="203"/>
      <c r="R11" s="203"/>
      <c r="S11" s="203"/>
      <c r="T11" s="204"/>
      <c r="V11" s="127"/>
    </row>
    <row r="12" customFormat="false" ht="13.5" hidden="false" customHeight="true" outlineLevel="0" collapsed="false">
      <c r="A12" s="161"/>
      <c r="B12" s="162" t="s">
        <v>164</v>
      </c>
      <c r="C12" s="163"/>
      <c r="D12" s="164"/>
      <c r="E12" s="165"/>
      <c r="F12" s="203"/>
      <c r="G12" s="203"/>
      <c r="H12" s="203"/>
      <c r="I12" s="203"/>
      <c r="J12" s="203"/>
      <c r="K12" s="203"/>
      <c r="L12" s="203"/>
      <c r="M12" s="203"/>
      <c r="N12" s="203"/>
      <c r="O12" s="203"/>
      <c r="P12" s="203"/>
      <c r="Q12" s="203"/>
      <c r="R12" s="203"/>
      <c r="S12" s="203"/>
      <c r="T12" s="204"/>
    </row>
    <row r="13" customFormat="false" ht="13.5" hidden="false" customHeight="true" outlineLevel="0" collapsed="false">
      <c r="A13" s="161"/>
      <c r="B13" s="162"/>
      <c r="C13" s="163"/>
      <c r="D13" s="164" t="n">
        <v>0</v>
      </c>
      <c r="E13" s="165"/>
      <c r="F13" s="203" t="s">
        <v>134</v>
      </c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4"/>
      <c r="V13" s="127"/>
    </row>
    <row r="14" customFormat="false" ht="13.5" hidden="false" customHeight="true" outlineLevel="0" collapsed="false">
      <c r="A14" s="161"/>
      <c r="B14" s="162"/>
      <c r="C14" s="163"/>
      <c r="D14" s="164" t="n">
        <v>500</v>
      </c>
      <c r="E14" s="165"/>
      <c r="F14" s="203"/>
      <c r="G14" s="203" t="s">
        <v>134</v>
      </c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4"/>
    </row>
    <row r="15" customFormat="false" ht="13.5" hidden="false" customHeight="true" outlineLevel="0" collapsed="false">
      <c r="A15" s="161"/>
      <c r="B15" s="162"/>
      <c r="C15" s="163"/>
      <c r="D15" s="164" t="n">
        <v>999.99</v>
      </c>
      <c r="E15" s="165"/>
      <c r="F15" s="203"/>
      <c r="G15" s="203"/>
      <c r="H15" s="203" t="s">
        <v>134</v>
      </c>
      <c r="I15" s="203"/>
      <c r="J15" s="203"/>
      <c r="K15" s="203"/>
      <c r="L15" s="203"/>
      <c r="M15" s="203"/>
      <c r="N15" s="203"/>
      <c r="O15" s="203"/>
      <c r="P15" s="203"/>
      <c r="Q15" s="203"/>
      <c r="R15" s="203"/>
      <c r="S15" s="203"/>
      <c r="T15" s="204"/>
    </row>
    <row r="16" customFormat="false" ht="13.5" hidden="false" customHeight="true" outlineLevel="0" collapsed="false">
      <c r="A16" s="161"/>
      <c r="B16" s="162"/>
      <c r="C16" s="163"/>
      <c r="D16" s="164" t="n">
        <v>1000</v>
      </c>
      <c r="E16" s="165"/>
      <c r="F16" s="203"/>
      <c r="G16" s="203"/>
      <c r="H16" s="203"/>
      <c r="I16" s="203" t="s">
        <v>134</v>
      </c>
      <c r="J16" s="203"/>
      <c r="K16" s="203"/>
      <c r="L16" s="203"/>
      <c r="M16" s="203"/>
      <c r="N16" s="203"/>
      <c r="O16" s="203"/>
      <c r="P16" s="203"/>
      <c r="Q16" s="203"/>
      <c r="R16" s="203"/>
      <c r="S16" s="203"/>
      <c r="T16" s="204"/>
    </row>
    <row r="17" customFormat="false" ht="13.5" hidden="false" customHeight="true" outlineLevel="0" collapsed="false">
      <c r="A17" s="161"/>
      <c r="B17" s="162"/>
      <c r="C17" s="163"/>
      <c r="D17" s="164" t="n">
        <v>2500</v>
      </c>
      <c r="E17" s="165"/>
      <c r="F17" s="203"/>
      <c r="G17" s="203"/>
      <c r="H17" s="203"/>
      <c r="I17" s="203"/>
      <c r="J17" s="203" t="s">
        <v>134</v>
      </c>
      <c r="K17" s="203"/>
      <c r="L17" s="203"/>
      <c r="M17" s="203"/>
      <c r="N17" s="203"/>
      <c r="O17" s="203"/>
      <c r="P17" s="203"/>
      <c r="Q17" s="203"/>
      <c r="R17" s="203"/>
      <c r="S17" s="203"/>
      <c r="T17" s="204"/>
      <c r="U17" s="205"/>
    </row>
    <row r="18" customFormat="false" ht="13.5" hidden="false" customHeight="true" outlineLevel="0" collapsed="false">
      <c r="A18" s="161"/>
      <c r="B18" s="162"/>
      <c r="C18" s="163"/>
      <c r="D18" s="164" t="n">
        <v>4999.99</v>
      </c>
      <c r="E18" s="165"/>
      <c r="F18" s="203"/>
      <c r="G18" s="203"/>
      <c r="H18" s="203"/>
      <c r="I18" s="203"/>
      <c r="J18" s="203"/>
      <c r="K18" s="203" t="s">
        <v>134</v>
      </c>
      <c r="L18" s="203"/>
      <c r="M18" s="203"/>
      <c r="N18" s="203"/>
      <c r="O18" s="203"/>
      <c r="P18" s="203"/>
      <c r="Q18" s="203"/>
      <c r="R18" s="203"/>
      <c r="S18" s="203"/>
      <c r="T18" s="204"/>
      <c r="U18" s="205"/>
    </row>
    <row r="19" customFormat="false" ht="13.5" hidden="false" customHeight="true" outlineLevel="0" collapsed="false">
      <c r="A19" s="161"/>
      <c r="B19" s="162"/>
      <c r="C19" s="163"/>
      <c r="D19" s="164" t="n">
        <v>5000</v>
      </c>
      <c r="E19" s="165"/>
      <c r="F19" s="203"/>
      <c r="G19" s="203"/>
      <c r="H19" s="203"/>
      <c r="I19" s="203"/>
      <c r="J19" s="203"/>
      <c r="K19" s="203"/>
      <c r="L19" s="203" t="s">
        <v>134</v>
      </c>
      <c r="M19" s="203"/>
      <c r="N19" s="203"/>
      <c r="O19" s="203"/>
      <c r="P19" s="203"/>
      <c r="Q19" s="203"/>
      <c r="R19" s="203"/>
      <c r="S19" s="203"/>
      <c r="T19" s="204"/>
    </row>
    <row r="20" customFormat="false" ht="13.5" hidden="false" customHeight="true" outlineLevel="0" collapsed="false">
      <c r="A20" s="161"/>
      <c r="B20" s="162"/>
      <c r="C20" s="163"/>
      <c r="D20" s="164" t="n">
        <v>7500</v>
      </c>
      <c r="E20" s="165"/>
      <c r="F20" s="203"/>
      <c r="G20" s="203"/>
      <c r="H20" s="203"/>
      <c r="I20" s="203"/>
      <c r="J20" s="203"/>
      <c r="K20" s="203"/>
      <c r="L20" s="203"/>
      <c r="M20" s="203" t="s">
        <v>134</v>
      </c>
      <c r="N20" s="203"/>
      <c r="O20" s="203"/>
      <c r="P20" s="203"/>
      <c r="Q20" s="203"/>
      <c r="R20" s="203"/>
      <c r="S20" s="203"/>
      <c r="T20" s="204"/>
    </row>
    <row r="21" customFormat="false" ht="13.5" hidden="false" customHeight="true" outlineLevel="0" collapsed="false">
      <c r="A21" s="161"/>
      <c r="B21" s="162"/>
      <c r="C21" s="163"/>
      <c r="D21" s="164" t="n">
        <v>9999.99</v>
      </c>
      <c r="E21" s="165"/>
      <c r="F21" s="203"/>
      <c r="G21" s="203"/>
      <c r="H21" s="203"/>
      <c r="I21" s="203"/>
      <c r="J21" s="203"/>
      <c r="K21" s="203"/>
      <c r="L21" s="203"/>
      <c r="M21" s="203"/>
      <c r="N21" s="203" t="s">
        <v>134</v>
      </c>
      <c r="O21" s="203"/>
      <c r="P21" s="203"/>
      <c r="Q21" s="203"/>
      <c r="R21" s="203"/>
      <c r="S21" s="203"/>
      <c r="T21" s="204"/>
    </row>
    <row r="22" customFormat="false" ht="13.5" hidden="false" customHeight="true" outlineLevel="0" collapsed="false">
      <c r="A22" s="161"/>
      <c r="B22" s="162"/>
      <c r="C22" s="163"/>
      <c r="D22" s="164" t="n">
        <v>10000</v>
      </c>
      <c r="E22" s="165"/>
      <c r="F22" s="203"/>
      <c r="G22" s="203"/>
      <c r="H22" s="203"/>
      <c r="I22" s="203"/>
      <c r="J22" s="203"/>
      <c r="K22" s="203"/>
      <c r="L22" s="203"/>
      <c r="M22" s="203"/>
      <c r="N22" s="203"/>
      <c r="O22" s="203" t="s">
        <v>134</v>
      </c>
      <c r="P22" s="203"/>
      <c r="Q22" s="203"/>
      <c r="R22" s="203"/>
      <c r="S22" s="203"/>
      <c r="T22" s="204"/>
    </row>
    <row r="23" customFormat="false" ht="13.5" hidden="false" customHeight="true" outlineLevel="0" collapsed="false">
      <c r="A23" s="161"/>
      <c r="B23" s="162"/>
      <c r="C23" s="163"/>
      <c r="D23" s="164" t="n">
        <v>20000</v>
      </c>
      <c r="E23" s="165"/>
      <c r="F23" s="203"/>
      <c r="G23" s="203"/>
      <c r="H23" s="203"/>
      <c r="I23" s="203"/>
      <c r="J23" s="203"/>
      <c r="K23" s="203"/>
      <c r="L23" s="203"/>
      <c r="M23" s="203"/>
      <c r="N23" s="203"/>
      <c r="O23" s="203"/>
      <c r="P23" s="203" t="s">
        <v>134</v>
      </c>
      <c r="Q23" s="203"/>
      <c r="R23" s="203"/>
      <c r="S23" s="203"/>
      <c r="T23" s="204"/>
    </row>
    <row r="24" customFormat="false" ht="13.5" hidden="false" customHeight="true" outlineLevel="0" collapsed="false">
      <c r="A24" s="161"/>
      <c r="B24" s="162"/>
      <c r="C24" s="163"/>
      <c r="D24" s="164" t="n">
        <v>-1</v>
      </c>
      <c r="E24" s="165"/>
      <c r="F24" s="203"/>
      <c r="G24" s="203"/>
      <c r="H24" s="203"/>
      <c r="I24" s="203"/>
      <c r="J24" s="203"/>
      <c r="K24" s="203"/>
      <c r="L24" s="203"/>
      <c r="M24" s="203"/>
      <c r="N24" s="203"/>
      <c r="O24" s="203"/>
      <c r="P24" s="203"/>
      <c r="Q24" s="203" t="s">
        <v>134</v>
      </c>
      <c r="R24" s="203"/>
      <c r="S24" s="203"/>
      <c r="T24" s="204"/>
    </row>
    <row r="25" customFormat="false" ht="13.5" hidden="false" customHeight="true" outlineLevel="0" collapsed="false">
      <c r="A25" s="161"/>
      <c r="B25" s="162"/>
      <c r="C25" s="163"/>
      <c r="D25" s="164" t="n">
        <v>-0.01</v>
      </c>
      <c r="E25" s="165"/>
      <c r="F25" s="203"/>
      <c r="G25" s="203"/>
      <c r="H25" s="203"/>
      <c r="I25" s="203"/>
      <c r="J25" s="203"/>
      <c r="K25" s="203"/>
      <c r="L25" s="203"/>
      <c r="M25" s="203"/>
      <c r="N25" s="203"/>
      <c r="O25" s="203"/>
      <c r="P25" s="203"/>
      <c r="Q25" s="203"/>
      <c r="R25" s="203" t="s">
        <v>134</v>
      </c>
      <c r="S25" s="203"/>
      <c r="T25" s="204"/>
    </row>
    <row r="26" customFormat="false" ht="13.5" hidden="false" customHeight="true" outlineLevel="0" collapsed="false">
      <c r="A26" s="161" t="s">
        <v>138</v>
      </c>
      <c r="B26" s="162" t="s">
        <v>139</v>
      </c>
      <c r="C26" s="163"/>
      <c r="D26" s="164"/>
      <c r="E26" s="165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4"/>
    </row>
    <row r="27" customFormat="false" ht="13.5" hidden="false" customHeight="true" outlineLevel="0" collapsed="false">
      <c r="A27" s="161"/>
      <c r="B27" s="162"/>
      <c r="C27" s="163"/>
      <c r="D27" s="164" t="n">
        <v>0</v>
      </c>
      <c r="E27" s="165"/>
      <c r="F27" s="203" t="s">
        <v>134</v>
      </c>
      <c r="G27" s="203" t="s">
        <v>134</v>
      </c>
      <c r="H27" s="203" t="s">
        <v>134</v>
      </c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4"/>
    </row>
    <row r="28" customFormat="false" ht="13.5" hidden="false" customHeight="true" outlineLevel="0" collapsed="false">
      <c r="A28" s="161"/>
      <c r="B28" s="162"/>
      <c r="C28" s="163"/>
      <c r="D28" s="164" t="n">
        <v>50</v>
      </c>
      <c r="E28" s="165"/>
      <c r="F28" s="203"/>
      <c r="G28" s="203"/>
      <c r="H28" s="203"/>
      <c r="I28" s="203" t="s">
        <v>134</v>
      </c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4"/>
    </row>
    <row r="29" customFormat="false" ht="13.5" hidden="false" customHeight="true" outlineLevel="0" collapsed="false">
      <c r="A29" s="161"/>
      <c r="B29" s="162"/>
      <c r="C29" s="163"/>
      <c r="D29" s="164" t="n">
        <v>125</v>
      </c>
      <c r="E29" s="165"/>
      <c r="F29" s="203"/>
      <c r="G29" s="203"/>
      <c r="H29" s="203"/>
      <c r="I29" s="203"/>
      <c r="J29" s="203" t="s">
        <v>134</v>
      </c>
      <c r="K29" s="203"/>
      <c r="L29" s="203"/>
      <c r="M29" s="203"/>
      <c r="N29" s="203"/>
      <c r="O29" s="203"/>
      <c r="P29" s="203"/>
      <c r="Q29" s="203"/>
      <c r="R29" s="203"/>
      <c r="S29" s="203"/>
      <c r="T29" s="204"/>
    </row>
    <row r="30" customFormat="false" ht="13.5" hidden="false" customHeight="true" outlineLevel="0" collapsed="false">
      <c r="A30" s="161"/>
      <c r="B30" s="162"/>
      <c r="C30" s="163"/>
      <c r="D30" s="164" t="n">
        <v>249.9995</v>
      </c>
      <c r="E30" s="165"/>
      <c r="F30" s="203"/>
      <c r="G30" s="203"/>
      <c r="H30" s="203"/>
      <c r="I30" s="203"/>
      <c r="J30" s="203"/>
      <c r="K30" s="203" t="s">
        <v>134</v>
      </c>
      <c r="L30" s="203"/>
      <c r="M30" s="203"/>
      <c r="N30" s="203"/>
      <c r="O30" s="203"/>
      <c r="P30" s="203"/>
      <c r="Q30" s="203"/>
      <c r="R30" s="203"/>
      <c r="S30" s="203"/>
      <c r="T30" s="204"/>
    </row>
    <row r="31" customFormat="false" ht="13.5" hidden="false" customHeight="true" outlineLevel="0" collapsed="false">
      <c r="A31" s="161"/>
      <c r="B31" s="162"/>
      <c r="C31" s="163"/>
      <c r="D31" s="164" t="n">
        <v>500</v>
      </c>
      <c r="E31" s="165"/>
      <c r="F31" s="203"/>
      <c r="G31" s="203"/>
      <c r="H31" s="203"/>
      <c r="I31" s="203"/>
      <c r="J31" s="203"/>
      <c r="K31" s="203"/>
      <c r="L31" s="203" t="s">
        <v>134</v>
      </c>
      <c r="M31" s="203"/>
      <c r="N31" s="203"/>
      <c r="O31" s="203"/>
      <c r="P31" s="203"/>
      <c r="Q31" s="203"/>
      <c r="R31" s="203"/>
      <c r="S31" s="203"/>
      <c r="T31" s="204"/>
    </row>
    <row r="32" customFormat="false" ht="13.5" hidden="false" customHeight="true" outlineLevel="0" collapsed="false">
      <c r="A32" s="161"/>
      <c r="B32" s="162"/>
      <c r="C32" s="163"/>
      <c r="D32" s="164" t="n">
        <v>750</v>
      </c>
      <c r="E32" s="165"/>
      <c r="F32" s="203"/>
      <c r="G32" s="203"/>
      <c r="H32" s="203"/>
      <c r="I32" s="203"/>
      <c r="J32" s="203"/>
      <c r="K32" s="203"/>
      <c r="L32" s="203"/>
      <c r="M32" s="203" t="s">
        <v>134</v>
      </c>
      <c r="N32" s="203"/>
      <c r="O32" s="203"/>
      <c r="P32" s="203"/>
      <c r="Q32" s="203"/>
      <c r="R32" s="203"/>
      <c r="S32" s="203"/>
      <c r="T32" s="204"/>
    </row>
    <row r="33" customFormat="false" ht="13.5" hidden="false" customHeight="true" outlineLevel="0" collapsed="false">
      <c r="A33" s="161"/>
      <c r="B33" s="162"/>
      <c r="C33" s="163"/>
      <c r="D33" s="164" t="n">
        <v>999.999</v>
      </c>
      <c r="E33" s="165"/>
      <c r="F33" s="203"/>
      <c r="G33" s="203"/>
      <c r="H33" s="203"/>
      <c r="I33" s="203"/>
      <c r="J33" s="203"/>
      <c r="K33" s="203"/>
      <c r="L33" s="203"/>
      <c r="M33" s="203"/>
      <c r="N33" s="203" t="s">
        <v>134</v>
      </c>
      <c r="O33" s="203"/>
      <c r="P33" s="203"/>
      <c r="Q33" s="203"/>
      <c r="R33" s="203"/>
      <c r="S33" s="203"/>
      <c r="T33" s="204"/>
    </row>
    <row r="34" customFormat="false" ht="13.5" hidden="false" customHeight="true" outlineLevel="0" collapsed="false">
      <c r="A34" s="161"/>
      <c r="B34" s="162"/>
      <c r="C34" s="163"/>
      <c r="D34" s="164" t="n">
        <v>1500</v>
      </c>
      <c r="E34" s="165"/>
      <c r="F34" s="203"/>
      <c r="G34" s="203"/>
      <c r="H34" s="203"/>
      <c r="I34" s="203"/>
      <c r="J34" s="203"/>
      <c r="K34" s="203"/>
      <c r="L34" s="203"/>
      <c r="M34" s="203"/>
      <c r="N34" s="203"/>
      <c r="O34" s="203" t="s">
        <v>134</v>
      </c>
      <c r="P34" s="203"/>
      <c r="Q34" s="203"/>
      <c r="R34" s="203"/>
      <c r="S34" s="203"/>
      <c r="T34" s="204"/>
    </row>
    <row r="35" customFormat="false" ht="13.5" hidden="false" customHeight="true" outlineLevel="0" collapsed="false">
      <c r="A35" s="161"/>
      <c r="B35" s="162"/>
      <c r="C35" s="163"/>
      <c r="D35" s="164" t="n">
        <v>3000</v>
      </c>
      <c r="E35" s="165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 t="s">
        <v>134</v>
      </c>
      <c r="Q35" s="203"/>
      <c r="R35" s="203"/>
      <c r="S35" s="203"/>
      <c r="T35" s="204"/>
    </row>
    <row r="36" customFormat="false" ht="13.5" hidden="false" customHeight="true" outlineLevel="0" collapsed="false">
      <c r="A36" s="161"/>
      <c r="B36" s="162" t="s">
        <v>140</v>
      </c>
      <c r="C36" s="163"/>
      <c r="D36" s="164"/>
      <c r="E36" s="165"/>
      <c r="F36" s="203"/>
      <c r="G36" s="203"/>
      <c r="H36" s="203"/>
      <c r="I36" s="203"/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4"/>
    </row>
    <row r="37" customFormat="false" ht="13.5" hidden="false" customHeight="true" outlineLevel="0" collapsed="false">
      <c r="A37" s="161"/>
      <c r="B37" s="162"/>
      <c r="C37" s="163"/>
      <c r="D37" s="164" t="s">
        <v>141</v>
      </c>
      <c r="E37" s="165"/>
      <c r="F37" s="203"/>
      <c r="G37" s="203"/>
      <c r="H37" s="203"/>
      <c r="I37" s="203"/>
      <c r="J37" s="203"/>
      <c r="K37" s="203"/>
      <c r="L37" s="203"/>
      <c r="M37" s="203"/>
      <c r="N37" s="203"/>
      <c r="O37" s="203"/>
      <c r="P37" s="203"/>
      <c r="Q37" s="203" t="s">
        <v>134</v>
      </c>
      <c r="R37" s="203" t="s">
        <v>134</v>
      </c>
      <c r="S37" s="203"/>
      <c r="T37" s="204"/>
    </row>
    <row r="38" customFormat="false" ht="13.5" hidden="false" customHeight="true" outlineLevel="0" collapsed="false">
      <c r="A38" s="161"/>
      <c r="B38" s="162" t="s">
        <v>142</v>
      </c>
      <c r="C38" s="163"/>
      <c r="D38" s="164"/>
      <c r="E38" s="165"/>
      <c r="F38" s="203"/>
      <c r="G38" s="203"/>
      <c r="H38" s="203"/>
      <c r="I38" s="203"/>
      <c r="J38" s="203"/>
      <c r="K38" s="203"/>
      <c r="L38" s="203"/>
      <c r="M38" s="203"/>
      <c r="N38" s="203"/>
      <c r="O38" s="203"/>
      <c r="P38" s="203"/>
      <c r="Q38" s="203"/>
      <c r="R38" s="203"/>
      <c r="S38" s="203"/>
      <c r="T38" s="204"/>
    </row>
    <row r="39" customFormat="false" ht="13.5" hidden="false" customHeight="true" outlineLevel="0" collapsed="false">
      <c r="A39" s="161"/>
      <c r="B39" s="162"/>
      <c r="C39" s="163"/>
      <c r="D39" s="164" t="s">
        <v>165</v>
      </c>
      <c r="E39" s="165"/>
      <c r="F39" s="203"/>
      <c r="G39" s="203"/>
      <c r="H39" s="203"/>
      <c r="I39" s="203"/>
      <c r="J39" s="203"/>
      <c r="K39" s="203"/>
      <c r="L39" s="203"/>
      <c r="M39" s="203"/>
      <c r="N39" s="203"/>
      <c r="O39" s="203"/>
      <c r="P39" s="203"/>
      <c r="Q39" s="203" t="s">
        <v>134</v>
      </c>
      <c r="R39" s="203" t="s">
        <v>134</v>
      </c>
      <c r="S39" s="203"/>
      <c r="T39" s="204"/>
    </row>
    <row r="40" customFormat="false" ht="13.5" hidden="false" customHeight="true" outlineLevel="0" collapsed="false">
      <c r="A40" s="161"/>
      <c r="B40" s="162"/>
      <c r="C40" s="163"/>
      <c r="D40" s="164"/>
      <c r="E40" s="165"/>
      <c r="F40" s="203"/>
      <c r="G40" s="203"/>
      <c r="H40" s="203"/>
      <c r="I40" s="203"/>
      <c r="J40" s="203"/>
      <c r="K40" s="203"/>
      <c r="L40" s="203"/>
      <c r="M40" s="203"/>
      <c r="N40" s="203"/>
      <c r="O40" s="203"/>
      <c r="P40" s="203"/>
      <c r="Q40" s="203"/>
      <c r="R40" s="203"/>
      <c r="S40" s="203"/>
      <c r="T40" s="204"/>
    </row>
    <row r="41" customFormat="false" ht="13.5" hidden="false" customHeight="true" outlineLevel="0" collapsed="false">
      <c r="A41" s="161"/>
      <c r="B41" s="162"/>
      <c r="C41" s="163"/>
      <c r="D41" s="164"/>
      <c r="E41" s="165"/>
      <c r="F41" s="203"/>
      <c r="G41" s="203"/>
      <c r="H41" s="203"/>
      <c r="I41" s="203"/>
      <c r="J41" s="203"/>
      <c r="K41" s="203"/>
      <c r="L41" s="203"/>
      <c r="M41" s="203"/>
      <c r="N41" s="203"/>
      <c r="O41" s="203"/>
      <c r="P41" s="203"/>
      <c r="Q41" s="203"/>
      <c r="R41" s="203"/>
      <c r="S41" s="203"/>
      <c r="T41" s="204"/>
    </row>
    <row r="42" customFormat="false" ht="79.5" hidden="false" customHeight="true" outlineLevel="0" collapsed="false">
      <c r="A42" s="161"/>
      <c r="B42" s="162"/>
      <c r="C42" s="163"/>
      <c r="D42" s="164"/>
      <c r="E42" s="165"/>
      <c r="F42" s="203"/>
      <c r="G42" s="203"/>
      <c r="H42" s="203"/>
      <c r="I42" s="203"/>
      <c r="J42" s="203"/>
      <c r="K42" s="203"/>
      <c r="L42" s="203"/>
      <c r="M42" s="203"/>
      <c r="N42" s="203"/>
      <c r="O42" s="203"/>
      <c r="P42" s="203"/>
      <c r="Q42" s="203"/>
      <c r="R42" s="203"/>
      <c r="S42" s="203"/>
      <c r="T42" s="204"/>
    </row>
    <row r="43" customFormat="false" ht="12" hidden="false" customHeight="true" outlineLevel="0" collapsed="false">
      <c r="A43" s="161"/>
      <c r="B43" s="162"/>
      <c r="C43" s="163"/>
      <c r="D43" s="164"/>
      <c r="E43" s="165"/>
      <c r="F43" s="203"/>
      <c r="G43" s="203"/>
      <c r="H43" s="203"/>
      <c r="I43" s="203"/>
      <c r="J43" s="203"/>
      <c r="K43" s="203"/>
      <c r="L43" s="203"/>
      <c r="M43" s="203"/>
      <c r="N43" s="203"/>
      <c r="O43" s="203"/>
      <c r="P43" s="203"/>
      <c r="Q43" s="203"/>
      <c r="R43" s="203"/>
      <c r="S43" s="203"/>
      <c r="T43" s="204"/>
    </row>
    <row r="44" customFormat="false" ht="15" hidden="false" customHeight="false" outlineLevel="0" collapsed="false">
      <c r="A44" s="161"/>
      <c r="B44" s="162"/>
      <c r="C44" s="163"/>
      <c r="D44" s="164"/>
      <c r="E44" s="165"/>
      <c r="F44" s="203"/>
      <c r="G44" s="203"/>
      <c r="H44" s="203"/>
      <c r="I44" s="203"/>
      <c r="J44" s="203"/>
      <c r="K44" s="203"/>
      <c r="L44" s="203"/>
      <c r="M44" s="203"/>
      <c r="N44" s="203"/>
      <c r="O44" s="203"/>
      <c r="P44" s="203"/>
      <c r="Q44" s="203"/>
      <c r="R44" s="203"/>
      <c r="S44" s="203"/>
      <c r="T44" s="204"/>
    </row>
    <row r="45" customFormat="false" ht="15" hidden="false" customHeight="false" outlineLevel="0" collapsed="false">
      <c r="A45" s="161"/>
      <c r="B45" s="162"/>
      <c r="C45" s="163"/>
      <c r="D45" s="164"/>
      <c r="E45" s="165"/>
      <c r="F45" s="203"/>
      <c r="G45" s="203"/>
      <c r="H45" s="203"/>
      <c r="I45" s="203"/>
      <c r="J45" s="203"/>
      <c r="K45" s="203"/>
      <c r="L45" s="203"/>
      <c r="M45" s="203"/>
      <c r="N45" s="203"/>
      <c r="O45" s="203"/>
      <c r="P45" s="203"/>
      <c r="Q45" s="203"/>
      <c r="R45" s="203"/>
      <c r="S45" s="203"/>
      <c r="T45" s="204"/>
    </row>
    <row r="46" customFormat="false" ht="15" hidden="false" customHeight="false" outlineLevel="0" collapsed="false">
      <c r="A46" s="161"/>
      <c r="B46" s="162"/>
      <c r="C46" s="163"/>
      <c r="D46" s="164"/>
      <c r="E46" s="165"/>
      <c r="F46" s="203"/>
      <c r="G46" s="203"/>
      <c r="H46" s="203"/>
      <c r="I46" s="203"/>
      <c r="J46" s="203"/>
      <c r="K46" s="203"/>
      <c r="L46" s="203"/>
      <c r="M46" s="203"/>
      <c r="N46" s="203"/>
      <c r="O46" s="203"/>
      <c r="P46" s="203"/>
      <c r="Q46" s="203"/>
      <c r="R46" s="203"/>
      <c r="S46" s="203"/>
      <c r="T46" s="204"/>
    </row>
    <row r="47" customFormat="false" ht="13.5" hidden="false" customHeight="false" outlineLevel="0" collapsed="false">
      <c r="A47" s="169" t="s">
        <v>144</v>
      </c>
      <c r="B47" s="170" t="s">
        <v>145</v>
      </c>
      <c r="C47" s="170"/>
      <c r="D47" s="170"/>
      <c r="E47" s="170"/>
      <c r="F47" s="206" t="s">
        <v>109</v>
      </c>
      <c r="G47" s="206" t="s">
        <v>108</v>
      </c>
      <c r="H47" s="206" t="s">
        <v>109</v>
      </c>
      <c r="I47" s="206" t="s">
        <v>109</v>
      </c>
      <c r="J47" s="206" t="s">
        <v>108</v>
      </c>
      <c r="K47" s="206" t="s">
        <v>109</v>
      </c>
      <c r="L47" s="206" t="s">
        <v>109</v>
      </c>
      <c r="M47" s="206" t="s">
        <v>108</v>
      </c>
      <c r="N47" s="206" t="s">
        <v>109</v>
      </c>
      <c r="O47" s="206" t="s">
        <v>109</v>
      </c>
      <c r="P47" s="206" t="s">
        <v>108</v>
      </c>
      <c r="Q47" s="206" t="s">
        <v>63</v>
      </c>
      <c r="R47" s="206" t="s">
        <v>63</v>
      </c>
      <c r="S47" s="206"/>
      <c r="T47" s="207"/>
    </row>
    <row r="48" customFormat="false" ht="13.5" hidden="false" customHeight="false" outlineLevel="0" collapsed="false">
      <c r="A48" s="173"/>
      <c r="B48" s="174" t="s">
        <v>146</v>
      </c>
      <c r="C48" s="174"/>
      <c r="D48" s="174"/>
      <c r="E48" s="175"/>
      <c r="F48" s="208" t="s">
        <v>147</v>
      </c>
      <c r="G48" s="208" t="s">
        <v>147</v>
      </c>
      <c r="H48" s="208" t="s">
        <v>147</v>
      </c>
      <c r="I48" s="208" t="s">
        <v>147</v>
      </c>
      <c r="J48" s="208" t="s">
        <v>147</v>
      </c>
      <c r="K48" s="208" t="s">
        <v>147</v>
      </c>
      <c r="L48" s="208" t="s">
        <v>147</v>
      </c>
      <c r="M48" s="208" t="s">
        <v>147</v>
      </c>
      <c r="N48" s="208" t="s">
        <v>147</v>
      </c>
      <c r="O48" s="208" t="s">
        <v>147</v>
      </c>
      <c r="P48" s="208" t="s">
        <v>147</v>
      </c>
      <c r="Q48" s="208" t="s">
        <v>147</v>
      </c>
      <c r="R48" s="208" t="s">
        <v>147</v>
      </c>
      <c r="S48" s="208"/>
      <c r="T48" s="209"/>
    </row>
    <row r="49" customFormat="false" ht="98.5" hidden="false" customHeight="false" outlineLevel="0" collapsed="false">
      <c r="A49" s="173"/>
      <c r="B49" s="178" t="s">
        <v>148</v>
      </c>
      <c r="C49" s="178"/>
      <c r="D49" s="178"/>
      <c r="E49" s="179"/>
      <c r="F49" s="180" t="n">
        <v>46300</v>
      </c>
      <c r="G49" s="180" t="n">
        <v>46300</v>
      </c>
      <c r="H49" s="180" t="n">
        <v>46300</v>
      </c>
      <c r="I49" s="180" t="n">
        <v>46300</v>
      </c>
      <c r="J49" s="180" t="n">
        <v>46300</v>
      </c>
      <c r="K49" s="180" t="n">
        <v>46300</v>
      </c>
      <c r="L49" s="180" t="n">
        <v>46300</v>
      </c>
      <c r="M49" s="180" t="n">
        <v>46300</v>
      </c>
      <c r="N49" s="180" t="n">
        <v>46300</v>
      </c>
      <c r="O49" s="180" t="n">
        <v>46300</v>
      </c>
      <c r="P49" s="180" t="n">
        <v>46300</v>
      </c>
      <c r="Q49" s="180" t="n">
        <v>46300</v>
      </c>
      <c r="R49" s="180" t="n">
        <v>46300</v>
      </c>
      <c r="S49" s="181"/>
      <c r="T49" s="182"/>
    </row>
    <row r="50" customFormat="false" ht="30.55" hidden="false" customHeight="false" outlineLevel="0" collapsed="false">
      <c r="A50" s="183"/>
      <c r="B50" s="184" t="s">
        <v>149</v>
      </c>
      <c r="C50" s="184"/>
      <c r="D50" s="184"/>
      <c r="E50" s="185"/>
      <c r="F50" s="186"/>
      <c r="G50" s="186"/>
      <c r="H50" s="186"/>
      <c r="I50" s="186" t="s">
        <v>166</v>
      </c>
      <c r="J50" s="186" t="s">
        <v>166</v>
      </c>
      <c r="K50" s="186" t="s">
        <v>166</v>
      </c>
      <c r="L50" s="186"/>
      <c r="M50" s="186"/>
      <c r="N50" s="186"/>
      <c r="O50" s="186"/>
      <c r="P50" s="186"/>
      <c r="Q50" s="186"/>
      <c r="R50" s="186"/>
      <c r="S50" s="186"/>
      <c r="T50" s="187"/>
    </row>
    <row r="51" customFormat="false" ht="13.5" hidden="false" customHeight="false" outlineLevel="0" collapsed="false">
      <c r="A51" s="119"/>
      <c r="B51" s="118"/>
      <c r="C51" s="120"/>
      <c r="D51" s="118"/>
    </row>
  </sheetData>
  <mergeCells count="27">
    <mergeCell ref="A2:B2"/>
    <mergeCell ref="C2:D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47:D47"/>
    <mergeCell ref="B48:D48"/>
    <mergeCell ref="B49:D49"/>
    <mergeCell ref="B50:D50"/>
  </mergeCells>
  <dataValidations count="3">
    <dataValidation allowBlank="true" errorStyle="stop" operator="between" showDropDown="false" showErrorMessage="true" showInputMessage="false" sqref="F39:T39" type="list">
      <formula1>"N,A,B,"</formula1>
      <formula2>0</formula2>
    </dataValidation>
    <dataValidation allowBlank="true" errorStyle="stop" operator="between" showDropDown="false" showErrorMessage="true" showInputMessage="false" sqref="F40:T40" type="list">
      <formula1>"P,F,"</formula1>
      <formula2>0</formula2>
    </dataValidation>
    <dataValidation allowBlank="true" errorStyle="stop" operator="between" showDropDown="false" showErrorMessage="true" showInputMessage="false" sqref="F10:T38" type="list">
      <formula1>"O,"</formula1>
      <formula2>0</formula2>
    </dataValidation>
  </dataValidations>
  <printOptions headings="false" gridLines="false" gridLinesSet="true" horizontalCentered="false" verticalCentered="false"/>
  <pageMargins left="0.75" right="0.75" top="0.75" bottom="0.75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&amp;L&amp;"Tahoma,Regular"&amp;10 02ae-BM/PM/HDCV/FSOFT v2/1&amp;C&amp;"Tahoma,Regular"&amp;10 Internal use&amp;R&amp;"Tahoma,Regular"&amp;10 &amp;P/&amp;N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0" activeCellId="0" sqref="A10"/>
    </sheetView>
  </sheetViews>
  <sheetFormatPr defaultColWidth="8.99609375" defaultRowHeight="13.5" zeroHeight="false" outlineLevelRow="0" outlineLevelCol="0"/>
  <cols>
    <col collapsed="false" customWidth="true" hidden="false" outlineLevel="0" max="1" min="1" style="118" width="6.82"/>
    <col collapsed="false" customWidth="true" hidden="false" outlineLevel="0" max="2" min="2" style="119" width="13.32"/>
    <col collapsed="false" customWidth="true" hidden="false" outlineLevel="0" max="3" min="3" style="118" width="10.82"/>
    <col collapsed="false" customWidth="true" hidden="false" outlineLevel="0" max="4" min="4" style="120" width="11.32"/>
    <col collapsed="false" customWidth="true" hidden="true" outlineLevel="0" max="5" min="5" style="118" width="1.82"/>
    <col collapsed="false" customWidth="true" hidden="false" outlineLevel="0" max="21" min="6" style="118" width="2.82"/>
    <col collapsed="false" customWidth="false" hidden="false" outlineLevel="0" max="257" min="22" style="118" width="8.99"/>
  </cols>
  <sheetData>
    <row r="1" customFormat="false" ht="13.5" hidden="false" customHeight="true" outlineLevel="0" collapsed="false"/>
    <row r="2" customFormat="false" ht="13.5" hidden="false" customHeight="true" outlineLevel="0" collapsed="false">
      <c r="A2" s="190" t="s">
        <v>118</v>
      </c>
      <c r="B2" s="190"/>
      <c r="C2" s="124" t="str">
        <f aca="false">Functions!E13</f>
        <v>Function3</v>
      </c>
      <c r="D2" s="124"/>
      <c r="F2" s="192" t="s">
        <v>73</v>
      </c>
      <c r="G2" s="192"/>
      <c r="H2" s="192"/>
      <c r="I2" s="192"/>
      <c r="J2" s="192"/>
      <c r="K2" s="192"/>
      <c r="L2" s="193" t="str">
        <f aca="false">Functions!D13</f>
        <v>calculateShippingFee(double subtotal)</v>
      </c>
      <c r="M2" s="193"/>
      <c r="N2" s="193"/>
      <c r="O2" s="193"/>
      <c r="P2" s="193"/>
      <c r="Q2" s="193"/>
      <c r="R2" s="193"/>
      <c r="S2" s="193"/>
      <c r="T2" s="193"/>
    </row>
    <row r="3" customFormat="false" ht="13.5" hidden="false" customHeight="true" outlineLevel="0" collapsed="false">
      <c r="A3" s="128" t="s">
        <v>119</v>
      </c>
      <c r="B3" s="128"/>
      <c r="C3" s="129" t="s">
        <v>49</v>
      </c>
      <c r="D3" s="129"/>
      <c r="E3" s="129"/>
      <c r="F3" s="130" t="s">
        <v>120</v>
      </c>
      <c r="G3" s="130"/>
      <c r="H3" s="130"/>
      <c r="I3" s="130"/>
      <c r="J3" s="130"/>
      <c r="K3" s="130"/>
      <c r="L3" s="131" t="s">
        <v>49</v>
      </c>
      <c r="M3" s="131"/>
      <c r="N3" s="131"/>
      <c r="O3" s="132"/>
      <c r="P3" s="132"/>
      <c r="Q3" s="132"/>
      <c r="R3" s="132"/>
      <c r="S3" s="132"/>
      <c r="T3" s="133"/>
    </row>
    <row r="4" customFormat="false" ht="13.5" hidden="false" customHeight="true" outlineLevel="0" collapsed="false">
      <c r="A4" s="128" t="s">
        <v>121</v>
      </c>
      <c r="B4" s="128"/>
      <c r="C4" s="134" t="n">
        <v>10</v>
      </c>
      <c r="D4" s="134"/>
      <c r="E4" s="135"/>
      <c r="F4" s="130" t="s">
        <v>122</v>
      </c>
      <c r="G4" s="130"/>
      <c r="H4" s="130"/>
      <c r="I4" s="130"/>
      <c r="J4" s="130"/>
      <c r="K4" s="130"/>
      <c r="L4" s="136" t="n">
        <f aca="false">IF(Functions!E6&lt;&gt;"N/A",SUM(C4*Functions!E6/1000,-O7),"N/A")</f>
        <v>-6</v>
      </c>
      <c r="M4" s="136"/>
      <c r="N4" s="136"/>
      <c r="O4" s="136"/>
      <c r="P4" s="136"/>
      <c r="Q4" s="136"/>
      <c r="R4" s="136"/>
      <c r="S4" s="136"/>
      <c r="T4" s="136"/>
      <c r="V4" s="127"/>
    </row>
    <row r="5" customFormat="false" ht="13.5" hidden="false" customHeight="true" outlineLevel="0" collapsed="false">
      <c r="A5" s="128" t="s">
        <v>123</v>
      </c>
      <c r="B5" s="128"/>
      <c r="C5" s="137" t="s">
        <v>91</v>
      </c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</row>
    <row r="6" customFormat="false" ht="13.5" hidden="false" customHeight="true" outlineLevel="0" collapsed="false">
      <c r="A6" s="138" t="s">
        <v>105</v>
      </c>
      <c r="B6" s="138"/>
      <c r="C6" s="139" t="s">
        <v>106</v>
      </c>
      <c r="D6" s="139"/>
      <c r="E6" s="139"/>
      <c r="F6" s="139" t="s">
        <v>107</v>
      </c>
      <c r="G6" s="139"/>
      <c r="H6" s="139"/>
      <c r="I6" s="139"/>
      <c r="J6" s="139"/>
      <c r="K6" s="139"/>
      <c r="L6" s="140" t="s">
        <v>124</v>
      </c>
      <c r="M6" s="140"/>
      <c r="N6" s="140"/>
      <c r="O6" s="141" t="s">
        <v>110</v>
      </c>
      <c r="P6" s="141"/>
      <c r="Q6" s="141"/>
      <c r="R6" s="141"/>
      <c r="S6" s="141"/>
      <c r="T6" s="141"/>
      <c r="V6" s="127"/>
    </row>
    <row r="7" customFormat="false" ht="13.5" hidden="false" customHeight="true" outlineLevel="0" collapsed="false">
      <c r="A7" s="142" t="n">
        <f aca="false">COUNTIF(F48:HQ48,"P")</f>
        <v>7</v>
      </c>
      <c r="B7" s="142"/>
      <c r="C7" s="143" t="n">
        <f aca="false">COUNTIF(F48:HQ48,"F")</f>
        <v>0</v>
      </c>
      <c r="D7" s="143"/>
      <c r="E7" s="143"/>
      <c r="F7" s="143" t="n">
        <f aca="false">SUM(O7,-A7,-C7)</f>
        <v>0</v>
      </c>
      <c r="G7" s="143"/>
      <c r="H7" s="143"/>
      <c r="I7" s="143"/>
      <c r="J7" s="143"/>
      <c r="K7" s="143"/>
      <c r="L7" s="144" t="n">
        <f aca="false">COUNTIF(E47:HQ47,"N")</f>
        <v>2</v>
      </c>
      <c r="M7" s="144" t="n">
        <f aca="false">COUNTIF(E47:HQ47,"A")</f>
        <v>1</v>
      </c>
      <c r="N7" s="144" t="n">
        <f aca="false">COUNTIF(E47:HQ47,"B")</f>
        <v>4</v>
      </c>
      <c r="O7" s="145" t="n">
        <f aca="false">COUNTA(F9:HT9)</f>
        <v>7</v>
      </c>
      <c r="P7" s="145"/>
      <c r="Q7" s="145"/>
      <c r="R7" s="145"/>
      <c r="S7" s="145"/>
      <c r="T7" s="145"/>
      <c r="U7" s="146"/>
    </row>
    <row r="8" customFormat="false" ht="12" hidden="false" customHeight="true" outlineLevel="0" collapsed="false"/>
    <row r="9" customFormat="false" ht="46.5" hidden="false" customHeight="true" outlineLevel="0" collapsed="false">
      <c r="A9" s="196"/>
      <c r="B9" s="210"/>
      <c r="C9" s="211"/>
      <c r="D9" s="212"/>
      <c r="E9" s="211"/>
      <c r="F9" s="213" t="s">
        <v>167</v>
      </c>
      <c r="G9" s="213" t="s">
        <v>168</v>
      </c>
      <c r="H9" s="213" t="s">
        <v>169</v>
      </c>
      <c r="I9" s="213" t="s">
        <v>170</v>
      </c>
      <c r="J9" s="213" t="s">
        <v>171</v>
      </c>
      <c r="K9" s="213" t="s">
        <v>172</v>
      </c>
      <c r="L9" s="213" t="s">
        <v>173</v>
      </c>
      <c r="M9" s="213"/>
      <c r="N9" s="213"/>
      <c r="O9" s="213"/>
      <c r="P9" s="213"/>
      <c r="Q9" s="213"/>
      <c r="R9" s="213"/>
      <c r="S9" s="213"/>
      <c r="T9" s="214"/>
      <c r="U9" s="153"/>
      <c r="V9" s="127"/>
    </row>
    <row r="10" customFormat="false" ht="13.5" hidden="false" customHeight="true" outlineLevel="0" collapsed="false">
      <c r="A10" s="154" t="s">
        <v>130</v>
      </c>
      <c r="B10" s="162" t="s">
        <v>131</v>
      </c>
      <c r="C10" s="163"/>
      <c r="D10" s="164"/>
      <c r="E10" s="202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4"/>
    </row>
    <row r="11" customFormat="false" ht="13.5" hidden="false" customHeight="true" outlineLevel="0" collapsed="false">
      <c r="A11" s="161"/>
      <c r="B11" s="162"/>
      <c r="C11" s="163"/>
      <c r="D11" s="164" t="s">
        <v>132</v>
      </c>
      <c r="E11" s="165"/>
      <c r="F11" s="203"/>
      <c r="G11" s="203"/>
      <c r="H11" s="203"/>
      <c r="I11" s="203"/>
      <c r="J11" s="203"/>
      <c r="K11" s="203"/>
      <c r="L11" s="203"/>
      <c r="M11" s="203"/>
      <c r="N11" s="203"/>
      <c r="O11" s="203"/>
      <c r="P11" s="203"/>
      <c r="Q11" s="203"/>
      <c r="R11" s="203"/>
      <c r="S11" s="203"/>
      <c r="T11" s="204"/>
      <c r="V11" s="127"/>
    </row>
    <row r="12" customFormat="false" ht="13.5" hidden="false" customHeight="true" outlineLevel="0" collapsed="false">
      <c r="A12" s="161"/>
      <c r="B12" s="162" t="s">
        <v>164</v>
      </c>
      <c r="C12" s="163"/>
      <c r="D12" s="164"/>
      <c r="E12" s="165"/>
      <c r="F12" s="203"/>
      <c r="G12" s="203"/>
      <c r="H12" s="203"/>
      <c r="I12" s="203"/>
      <c r="J12" s="203"/>
      <c r="K12" s="203"/>
      <c r="L12" s="203"/>
      <c r="M12" s="203"/>
      <c r="N12" s="203"/>
      <c r="O12" s="203"/>
      <c r="P12" s="203"/>
      <c r="Q12" s="203"/>
      <c r="R12" s="203"/>
      <c r="S12" s="203"/>
      <c r="T12" s="204"/>
    </row>
    <row r="13" customFormat="false" ht="13.5" hidden="false" customHeight="true" outlineLevel="0" collapsed="false">
      <c r="A13" s="161"/>
      <c r="B13" s="162"/>
      <c r="C13" s="163"/>
      <c r="D13" s="164" t="n">
        <v>0</v>
      </c>
      <c r="E13" s="165"/>
      <c r="F13" s="203" t="s">
        <v>134</v>
      </c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4"/>
    </row>
    <row r="14" customFormat="false" ht="13.5" hidden="false" customHeight="true" outlineLevel="0" collapsed="false">
      <c r="A14" s="161"/>
      <c r="B14" s="162"/>
      <c r="C14" s="163"/>
      <c r="D14" s="164" t="n">
        <v>500</v>
      </c>
      <c r="E14" s="165"/>
      <c r="F14" s="203"/>
      <c r="G14" s="203" t="s">
        <v>134</v>
      </c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4"/>
    </row>
    <row r="15" customFormat="false" ht="13.5" hidden="false" customHeight="true" outlineLevel="0" collapsed="false">
      <c r="A15" s="161"/>
      <c r="B15" s="162"/>
      <c r="C15" s="163"/>
      <c r="D15" s="164" t="n">
        <v>1999.99</v>
      </c>
      <c r="E15" s="165"/>
      <c r="F15" s="203"/>
      <c r="G15" s="203"/>
      <c r="H15" s="203" t="s">
        <v>134</v>
      </c>
      <c r="I15" s="203"/>
      <c r="J15" s="203"/>
      <c r="K15" s="203"/>
      <c r="L15" s="203"/>
      <c r="M15" s="203"/>
      <c r="N15" s="203"/>
      <c r="O15" s="203"/>
      <c r="P15" s="203"/>
      <c r="Q15" s="203"/>
      <c r="R15" s="203"/>
      <c r="S15" s="203"/>
      <c r="T15" s="204"/>
      <c r="W15" s="127"/>
    </row>
    <row r="16" customFormat="false" ht="13.5" hidden="false" customHeight="true" outlineLevel="0" collapsed="false">
      <c r="A16" s="161"/>
      <c r="B16" s="162"/>
      <c r="C16" s="163"/>
      <c r="D16" s="164" t="n">
        <v>2000</v>
      </c>
      <c r="E16" s="165"/>
      <c r="F16" s="203"/>
      <c r="G16" s="203"/>
      <c r="H16" s="203"/>
      <c r="I16" s="203" t="s">
        <v>134</v>
      </c>
      <c r="J16" s="203"/>
      <c r="K16" s="203"/>
      <c r="L16" s="203"/>
      <c r="M16" s="203"/>
      <c r="N16" s="203"/>
      <c r="O16" s="203"/>
      <c r="P16" s="203"/>
      <c r="Q16" s="203"/>
      <c r="R16" s="203"/>
      <c r="S16" s="203"/>
      <c r="T16" s="204"/>
    </row>
    <row r="17" customFormat="false" ht="13.5" hidden="false" customHeight="true" outlineLevel="0" collapsed="false">
      <c r="A17" s="161"/>
      <c r="B17" s="162"/>
      <c r="C17" s="163"/>
      <c r="D17" s="164" t="n">
        <v>2000.01</v>
      </c>
      <c r="E17" s="165"/>
      <c r="F17" s="203"/>
      <c r="G17" s="203"/>
      <c r="H17" s="203"/>
      <c r="I17" s="203"/>
      <c r="J17" s="203" t="s">
        <v>134</v>
      </c>
      <c r="K17" s="203"/>
      <c r="L17" s="203"/>
      <c r="M17" s="203"/>
      <c r="N17" s="203"/>
      <c r="O17" s="203"/>
      <c r="P17" s="203"/>
      <c r="Q17" s="203"/>
      <c r="R17" s="203"/>
      <c r="S17" s="203"/>
      <c r="T17" s="204"/>
      <c r="U17" s="205"/>
    </row>
    <row r="18" customFormat="false" ht="13.5" hidden="false" customHeight="true" outlineLevel="0" collapsed="false">
      <c r="A18" s="161"/>
      <c r="B18" s="162"/>
      <c r="C18" s="163"/>
      <c r="D18" s="164" t="n">
        <v>5000</v>
      </c>
      <c r="E18" s="165"/>
      <c r="F18" s="203"/>
      <c r="G18" s="203"/>
      <c r="H18" s="203"/>
      <c r="I18" s="203"/>
      <c r="J18" s="203"/>
      <c r="K18" s="203" t="s">
        <v>134</v>
      </c>
      <c r="L18" s="203"/>
      <c r="M18" s="203"/>
      <c r="N18" s="203"/>
      <c r="O18" s="203"/>
      <c r="P18" s="203"/>
      <c r="Q18" s="203"/>
      <c r="R18" s="203"/>
      <c r="S18" s="203"/>
      <c r="T18" s="204"/>
      <c r="U18" s="205"/>
    </row>
    <row r="19" customFormat="false" ht="13.5" hidden="false" customHeight="true" outlineLevel="0" collapsed="false">
      <c r="A19" s="161"/>
      <c r="B19" s="162"/>
      <c r="C19" s="163"/>
      <c r="D19" s="164" t="n">
        <v>-1</v>
      </c>
      <c r="E19" s="165"/>
      <c r="F19" s="203"/>
      <c r="G19" s="203"/>
      <c r="H19" s="203"/>
      <c r="I19" s="203"/>
      <c r="J19" s="203"/>
      <c r="K19" s="203"/>
      <c r="L19" s="203" t="s">
        <v>134</v>
      </c>
      <c r="M19" s="203"/>
      <c r="N19" s="203"/>
      <c r="O19" s="203"/>
      <c r="P19" s="203"/>
      <c r="Q19" s="203"/>
      <c r="R19" s="203"/>
      <c r="S19" s="203"/>
      <c r="T19" s="204"/>
    </row>
    <row r="20" customFormat="false" ht="13.5" hidden="false" customHeight="true" outlineLevel="0" collapsed="false">
      <c r="A20" s="161" t="s">
        <v>138</v>
      </c>
      <c r="B20" s="162" t="s">
        <v>139</v>
      </c>
      <c r="C20" s="163"/>
      <c r="D20" s="164"/>
      <c r="E20" s="165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4"/>
    </row>
    <row r="21" customFormat="false" ht="13.5" hidden="false" customHeight="true" outlineLevel="0" collapsed="false">
      <c r="A21" s="161"/>
      <c r="B21" s="162"/>
      <c r="C21" s="163"/>
      <c r="D21" s="164" t="n">
        <v>50</v>
      </c>
      <c r="E21" s="165"/>
      <c r="F21" s="203" t="s">
        <v>134</v>
      </c>
      <c r="G21" s="203" t="s">
        <v>134</v>
      </c>
      <c r="H21" s="203" t="s">
        <v>134</v>
      </c>
      <c r="I21" s="203"/>
      <c r="J21" s="203"/>
      <c r="K21" s="203"/>
      <c r="L21" s="203"/>
      <c r="M21" s="203"/>
      <c r="N21" s="203"/>
      <c r="O21" s="203"/>
      <c r="P21" s="203"/>
      <c r="Q21" s="203"/>
      <c r="R21" s="203"/>
      <c r="S21" s="203"/>
      <c r="T21" s="204"/>
    </row>
    <row r="22" customFormat="false" ht="13.5" hidden="false" customHeight="true" outlineLevel="0" collapsed="false">
      <c r="A22" s="161"/>
      <c r="B22" s="162"/>
      <c r="C22" s="163"/>
      <c r="D22" s="164" t="n">
        <v>0</v>
      </c>
      <c r="E22" s="165"/>
      <c r="F22" s="203"/>
      <c r="G22" s="203"/>
      <c r="H22" s="203"/>
      <c r="I22" s="203" t="s">
        <v>134</v>
      </c>
      <c r="J22" s="203" t="s">
        <v>134</v>
      </c>
      <c r="K22" s="203" t="s">
        <v>134</v>
      </c>
      <c r="L22" s="203"/>
      <c r="M22" s="203"/>
      <c r="N22" s="203"/>
      <c r="O22" s="203"/>
      <c r="P22" s="203"/>
      <c r="Q22" s="203"/>
      <c r="R22" s="203"/>
      <c r="S22" s="203"/>
      <c r="T22" s="204"/>
    </row>
    <row r="23" customFormat="false" ht="13.5" hidden="false" customHeight="true" outlineLevel="0" collapsed="false">
      <c r="A23" s="161"/>
      <c r="B23" s="162" t="s">
        <v>140</v>
      </c>
      <c r="C23" s="163"/>
      <c r="D23" s="164"/>
      <c r="E23" s="165"/>
      <c r="F23" s="203"/>
      <c r="G23" s="203"/>
      <c r="H23" s="203"/>
      <c r="I23" s="203"/>
      <c r="J23" s="203"/>
      <c r="K23" s="203"/>
      <c r="L23" s="203"/>
      <c r="M23" s="203"/>
      <c r="N23" s="203"/>
      <c r="O23" s="203"/>
      <c r="P23" s="203"/>
      <c r="Q23" s="203"/>
      <c r="R23" s="203"/>
      <c r="S23" s="203"/>
      <c r="T23" s="204"/>
    </row>
    <row r="24" customFormat="false" ht="13.5" hidden="false" customHeight="true" outlineLevel="0" collapsed="false">
      <c r="A24" s="161"/>
      <c r="B24" s="162"/>
      <c r="C24" s="163"/>
      <c r="D24" s="164" t="s">
        <v>141</v>
      </c>
      <c r="E24" s="165"/>
      <c r="F24" s="203"/>
      <c r="G24" s="203"/>
      <c r="H24" s="203"/>
      <c r="I24" s="203"/>
      <c r="J24" s="203"/>
      <c r="K24" s="203"/>
      <c r="L24" s="203" t="s">
        <v>134</v>
      </c>
      <c r="M24" s="203"/>
      <c r="N24" s="203"/>
      <c r="O24" s="203"/>
      <c r="P24" s="203"/>
      <c r="Q24" s="203"/>
      <c r="R24" s="203"/>
      <c r="S24" s="203"/>
      <c r="T24" s="204"/>
    </row>
    <row r="25" customFormat="false" ht="13.5" hidden="false" customHeight="true" outlineLevel="0" collapsed="false">
      <c r="A25" s="161"/>
      <c r="B25" s="162" t="s">
        <v>142</v>
      </c>
      <c r="C25" s="163"/>
      <c r="D25" s="164"/>
      <c r="E25" s="165"/>
      <c r="F25" s="203"/>
      <c r="G25" s="203"/>
      <c r="H25" s="203"/>
      <c r="I25" s="203"/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4"/>
    </row>
    <row r="26" customFormat="false" ht="13.5" hidden="false" customHeight="true" outlineLevel="0" collapsed="false">
      <c r="A26" s="161"/>
      <c r="B26" s="162"/>
      <c r="C26" s="163"/>
      <c r="D26" s="164" t="s">
        <v>165</v>
      </c>
      <c r="E26" s="165"/>
      <c r="F26" s="203"/>
      <c r="G26" s="203"/>
      <c r="H26" s="203"/>
      <c r="I26" s="203"/>
      <c r="J26" s="203"/>
      <c r="K26" s="203"/>
      <c r="L26" s="203" t="s">
        <v>134</v>
      </c>
      <c r="M26" s="203"/>
      <c r="N26" s="203"/>
      <c r="O26" s="203"/>
      <c r="P26" s="203"/>
      <c r="Q26" s="203"/>
      <c r="R26" s="203"/>
      <c r="S26" s="203"/>
      <c r="T26" s="204"/>
    </row>
    <row r="27" customFormat="false" ht="13.5" hidden="false" customHeight="true" outlineLevel="0" collapsed="false">
      <c r="A27" s="161"/>
      <c r="B27" s="162"/>
      <c r="C27" s="163"/>
      <c r="D27" s="164"/>
      <c r="E27" s="165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4"/>
    </row>
    <row r="28" customFormat="false" ht="13.5" hidden="false" customHeight="true" outlineLevel="0" collapsed="false">
      <c r="A28" s="161"/>
      <c r="B28" s="162"/>
      <c r="C28" s="163"/>
      <c r="D28" s="164"/>
      <c r="E28" s="165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4"/>
    </row>
    <row r="29" customFormat="false" ht="13.5" hidden="false" customHeight="true" outlineLevel="0" collapsed="false">
      <c r="A29" s="161"/>
      <c r="B29" s="162"/>
      <c r="C29" s="163"/>
      <c r="D29" s="164"/>
      <c r="E29" s="165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3"/>
      <c r="Q29" s="203"/>
      <c r="R29" s="203"/>
      <c r="S29" s="203"/>
      <c r="T29" s="204"/>
    </row>
    <row r="30" customFormat="false" ht="13.5" hidden="false" customHeight="true" outlineLevel="0" collapsed="false">
      <c r="A30" s="161"/>
      <c r="B30" s="162"/>
      <c r="C30" s="163"/>
      <c r="D30" s="164"/>
      <c r="E30" s="165"/>
      <c r="F30" s="203"/>
      <c r="G30" s="203"/>
      <c r="H30" s="203"/>
      <c r="I30" s="203"/>
      <c r="J30" s="203"/>
      <c r="K30" s="203"/>
      <c r="L30" s="203"/>
      <c r="M30" s="203"/>
      <c r="N30" s="203"/>
      <c r="O30" s="203"/>
      <c r="P30" s="203"/>
      <c r="Q30" s="203"/>
      <c r="R30" s="203"/>
      <c r="S30" s="203"/>
      <c r="T30" s="204"/>
    </row>
    <row r="31" customFormat="false" ht="13.5" hidden="false" customHeight="true" outlineLevel="0" collapsed="false">
      <c r="A31" s="161"/>
      <c r="B31" s="162"/>
      <c r="C31" s="163"/>
      <c r="D31" s="164"/>
      <c r="E31" s="165"/>
      <c r="F31" s="203"/>
      <c r="G31" s="203"/>
      <c r="H31" s="203"/>
      <c r="I31" s="203"/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4"/>
    </row>
    <row r="32" customFormat="false" ht="13.5" hidden="false" customHeight="true" outlineLevel="0" collapsed="false">
      <c r="A32" s="161"/>
      <c r="B32" s="162"/>
      <c r="C32" s="163"/>
      <c r="D32" s="164"/>
      <c r="E32" s="165"/>
      <c r="F32" s="203"/>
      <c r="G32" s="203"/>
      <c r="H32" s="203"/>
      <c r="I32" s="203"/>
      <c r="J32" s="203"/>
      <c r="K32" s="203"/>
      <c r="L32" s="203"/>
      <c r="M32" s="203"/>
      <c r="N32" s="203"/>
      <c r="O32" s="203"/>
      <c r="P32" s="203"/>
      <c r="Q32" s="203"/>
      <c r="R32" s="203"/>
      <c r="S32" s="203"/>
      <c r="T32" s="204"/>
    </row>
    <row r="33" customFormat="false" ht="13.5" hidden="false" customHeight="true" outlineLevel="0" collapsed="false">
      <c r="A33" s="161"/>
      <c r="B33" s="162"/>
      <c r="C33" s="163"/>
      <c r="D33" s="164"/>
      <c r="E33" s="165"/>
      <c r="F33" s="203"/>
      <c r="G33" s="203"/>
      <c r="H33" s="203"/>
      <c r="I33" s="203"/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4"/>
    </row>
    <row r="34" customFormat="false" ht="13.5" hidden="false" customHeight="true" outlineLevel="0" collapsed="false">
      <c r="A34" s="161"/>
      <c r="B34" s="162"/>
      <c r="C34" s="163"/>
      <c r="D34" s="164"/>
      <c r="E34" s="165"/>
      <c r="F34" s="203"/>
      <c r="G34" s="203"/>
      <c r="H34" s="203"/>
      <c r="I34" s="203"/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4"/>
    </row>
    <row r="35" customFormat="false" ht="13.5" hidden="false" customHeight="true" outlineLevel="0" collapsed="false">
      <c r="A35" s="161"/>
      <c r="B35" s="162"/>
      <c r="C35" s="163"/>
      <c r="D35" s="164"/>
      <c r="E35" s="165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4"/>
    </row>
    <row r="36" customFormat="false" ht="13.5" hidden="false" customHeight="true" outlineLevel="0" collapsed="false">
      <c r="A36" s="161"/>
      <c r="B36" s="162"/>
      <c r="C36" s="163"/>
      <c r="D36" s="164"/>
      <c r="E36" s="165"/>
      <c r="F36" s="203"/>
      <c r="G36" s="203"/>
      <c r="H36" s="203"/>
      <c r="I36" s="203"/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4"/>
    </row>
    <row r="37" customFormat="false" ht="13.5" hidden="false" customHeight="true" outlineLevel="0" collapsed="false">
      <c r="A37" s="161"/>
      <c r="B37" s="162"/>
      <c r="C37" s="163"/>
      <c r="D37" s="164"/>
      <c r="E37" s="165"/>
      <c r="F37" s="203"/>
      <c r="G37" s="203"/>
      <c r="H37" s="203"/>
      <c r="I37" s="203"/>
      <c r="J37" s="203"/>
      <c r="K37" s="203"/>
      <c r="L37" s="203"/>
      <c r="M37" s="203"/>
      <c r="N37" s="203"/>
      <c r="O37" s="203"/>
      <c r="P37" s="203"/>
      <c r="Q37" s="203"/>
      <c r="R37" s="203"/>
      <c r="S37" s="203"/>
      <c r="T37" s="204"/>
    </row>
    <row r="38" customFormat="false" ht="13.5" hidden="false" customHeight="true" outlineLevel="0" collapsed="false">
      <c r="A38" s="161"/>
      <c r="B38" s="162"/>
      <c r="C38" s="163"/>
      <c r="D38" s="164"/>
      <c r="E38" s="165"/>
      <c r="F38" s="203"/>
      <c r="G38" s="203"/>
      <c r="H38" s="203"/>
      <c r="I38" s="203"/>
      <c r="J38" s="203"/>
      <c r="K38" s="203"/>
      <c r="L38" s="203"/>
      <c r="M38" s="203"/>
      <c r="N38" s="203"/>
      <c r="O38" s="203"/>
      <c r="P38" s="203"/>
      <c r="Q38" s="203"/>
      <c r="R38" s="203"/>
      <c r="S38" s="203"/>
      <c r="T38" s="204"/>
    </row>
    <row r="39" customFormat="false" ht="13.5" hidden="false" customHeight="true" outlineLevel="0" collapsed="false">
      <c r="A39" s="161"/>
      <c r="B39" s="162"/>
      <c r="C39" s="163"/>
      <c r="D39" s="164"/>
      <c r="E39" s="165"/>
      <c r="F39" s="203"/>
      <c r="G39" s="203"/>
      <c r="H39" s="203"/>
      <c r="I39" s="203"/>
      <c r="J39" s="203"/>
      <c r="K39" s="203"/>
      <c r="L39" s="203"/>
      <c r="M39" s="203"/>
      <c r="N39" s="203"/>
      <c r="O39" s="203"/>
      <c r="P39" s="203"/>
      <c r="Q39" s="203"/>
      <c r="R39" s="203"/>
      <c r="S39" s="203"/>
      <c r="T39" s="204"/>
    </row>
    <row r="40" customFormat="false" ht="13.5" hidden="false" customHeight="true" outlineLevel="0" collapsed="false">
      <c r="A40" s="161"/>
      <c r="B40" s="162"/>
      <c r="C40" s="163"/>
      <c r="D40" s="164"/>
      <c r="E40" s="165"/>
      <c r="F40" s="203"/>
      <c r="G40" s="203"/>
      <c r="H40" s="203"/>
      <c r="I40" s="203"/>
      <c r="J40" s="203"/>
      <c r="K40" s="203"/>
      <c r="L40" s="203"/>
      <c r="M40" s="203"/>
      <c r="N40" s="203"/>
      <c r="O40" s="203"/>
      <c r="P40" s="203"/>
      <c r="Q40" s="203"/>
      <c r="R40" s="203"/>
      <c r="S40" s="203"/>
      <c r="T40" s="204"/>
    </row>
    <row r="41" customFormat="false" ht="13.5" hidden="false" customHeight="true" outlineLevel="0" collapsed="false">
      <c r="A41" s="161"/>
      <c r="B41" s="162"/>
      <c r="C41" s="163"/>
      <c r="D41" s="164"/>
      <c r="E41" s="165"/>
      <c r="F41" s="203"/>
      <c r="G41" s="203"/>
      <c r="H41" s="203"/>
      <c r="I41" s="203"/>
      <c r="J41" s="203"/>
      <c r="K41" s="203"/>
      <c r="L41" s="203"/>
      <c r="M41" s="203"/>
      <c r="N41" s="203"/>
      <c r="O41" s="203"/>
      <c r="P41" s="203"/>
      <c r="Q41" s="203"/>
      <c r="R41" s="203"/>
      <c r="S41" s="203"/>
      <c r="T41" s="204"/>
    </row>
    <row r="42" customFormat="false" ht="79.5" hidden="false" customHeight="true" outlineLevel="0" collapsed="false">
      <c r="A42" s="161"/>
      <c r="B42" s="162"/>
      <c r="C42" s="163"/>
      <c r="D42" s="164"/>
      <c r="E42" s="165"/>
      <c r="F42" s="203"/>
      <c r="G42" s="203"/>
      <c r="H42" s="203"/>
      <c r="I42" s="203"/>
      <c r="J42" s="203"/>
      <c r="K42" s="203"/>
      <c r="L42" s="203"/>
      <c r="M42" s="203"/>
      <c r="N42" s="203"/>
      <c r="O42" s="203"/>
      <c r="P42" s="203"/>
      <c r="Q42" s="203"/>
      <c r="R42" s="203"/>
      <c r="S42" s="203"/>
      <c r="T42" s="204"/>
    </row>
    <row r="43" customFormat="false" ht="12" hidden="false" customHeight="true" outlineLevel="0" collapsed="false">
      <c r="A43" s="161"/>
      <c r="B43" s="162"/>
      <c r="C43" s="163"/>
      <c r="D43" s="164"/>
      <c r="E43" s="165"/>
      <c r="F43" s="203"/>
      <c r="G43" s="203"/>
      <c r="H43" s="203"/>
      <c r="I43" s="203"/>
      <c r="J43" s="203"/>
      <c r="K43" s="203"/>
      <c r="L43" s="203"/>
      <c r="M43" s="203"/>
      <c r="N43" s="203"/>
      <c r="O43" s="203"/>
      <c r="P43" s="203"/>
      <c r="Q43" s="203"/>
      <c r="R43" s="203"/>
      <c r="S43" s="203"/>
      <c r="T43" s="204"/>
    </row>
    <row r="44" customFormat="false" ht="15" hidden="false" customHeight="false" outlineLevel="0" collapsed="false">
      <c r="A44" s="161"/>
      <c r="B44" s="162"/>
      <c r="C44" s="163"/>
      <c r="D44" s="164"/>
      <c r="E44" s="165"/>
      <c r="F44" s="203"/>
      <c r="G44" s="203"/>
      <c r="H44" s="203"/>
      <c r="I44" s="203"/>
      <c r="J44" s="203"/>
      <c r="K44" s="203"/>
      <c r="L44" s="203"/>
      <c r="M44" s="203"/>
      <c r="N44" s="203"/>
      <c r="O44" s="203"/>
      <c r="P44" s="203"/>
      <c r="Q44" s="203"/>
      <c r="R44" s="203"/>
      <c r="S44" s="203"/>
      <c r="T44" s="204"/>
    </row>
    <row r="45" customFormat="false" ht="15" hidden="false" customHeight="false" outlineLevel="0" collapsed="false">
      <c r="A45" s="161"/>
      <c r="B45" s="162"/>
      <c r="C45" s="163"/>
      <c r="D45" s="164"/>
      <c r="E45" s="165"/>
      <c r="F45" s="203"/>
      <c r="G45" s="203"/>
      <c r="H45" s="203"/>
      <c r="I45" s="203"/>
      <c r="J45" s="203"/>
      <c r="K45" s="203"/>
      <c r="L45" s="203"/>
      <c r="M45" s="203"/>
      <c r="N45" s="203"/>
      <c r="O45" s="203"/>
      <c r="P45" s="203"/>
      <c r="Q45" s="203"/>
      <c r="R45" s="203"/>
      <c r="S45" s="203"/>
      <c r="T45" s="204"/>
    </row>
    <row r="46" customFormat="false" ht="15" hidden="false" customHeight="false" outlineLevel="0" collapsed="false">
      <c r="A46" s="161"/>
      <c r="B46" s="162"/>
      <c r="C46" s="163"/>
      <c r="D46" s="164"/>
      <c r="E46" s="165"/>
      <c r="F46" s="203"/>
      <c r="G46" s="203"/>
      <c r="H46" s="203"/>
      <c r="I46" s="203"/>
      <c r="J46" s="203"/>
      <c r="K46" s="203"/>
      <c r="L46" s="203"/>
      <c r="M46" s="203"/>
      <c r="N46" s="203"/>
      <c r="O46" s="203"/>
      <c r="P46" s="203"/>
      <c r="Q46" s="203"/>
      <c r="R46" s="203"/>
      <c r="S46" s="203"/>
      <c r="T46" s="204"/>
    </row>
    <row r="47" customFormat="false" ht="13.5" hidden="false" customHeight="false" outlineLevel="0" collapsed="false">
      <c r="A47" s="169" t="s">
        <v>144</v>
      </c>
      <c r="B47" s="170" t="s">
        <v>145</v>
      </c>
      <c r="C47" s="170"/>
      <c r="D47" s="170"/>
      <c r="E47" s="170"/>
      <c r="F47" s="206" t="s">
        <v>109</v>
      </c>
      <c r="G47" s="206" t="s">
        <v>108</v>
      </c>
      <c r="H47" s="206" t="s">
        <v>109</v>
      </c>
      <c r="I47" s="206" t="s">
        <v>109</v>
      </c>
      <c r="J47" s="206" t="s">
        <v>109</v>
      </c>
      <c r="K47" s="206" t="s">
        <v>108</v>
      </c>
      <c r="L47" s="206" t="s">
        <v>63</v>
      </c>
      <c r="M47" s="206"/>
      <c r="N47" s="206"/>
      <c r="O47" s="206"/>
      <c r="P47" s="206"/>
      <c r="Q47" s="206"/>
      <c r="R47" s="206"/>
      <c r="S47" s="206"/>
      <c r="T47" s="207"/>
    </row>
    <row r="48" customFormat="false" ht="13.5" hidden="false" customHeight="false" outlineLevel="0" collapsed="false">
      <c r="A48" s="215"/>
      <c r="B48" s="174" t="s">
        <v>146</v>
      </c>
      <c r="C48" s="174"/>
      <c r="D48" s="174"/>
      <c r="E48" s="175"/>
      <c r="F48" s="208" t="s">
        <v>147</v>
      </c>
      <c r="G48" s="208" t="s">
        <v>147</v>
      </c>
      <c r="H48" s="208" t="s">
        <v>147</v>
      </c>
      <c r="I48" s="208" t="s">
        <v>147</v>
      </c>
      <c r="J48" s="208" t="s">
        <v>147</v>
      </c>
      <c r="K48" s="208" t="s">
        <v>147</v>
      </c>
      <c r="L48" s="208" t="s">
        <v>147</v>
      </c>
      <c r="M48" s="208"/>
      <c r="N48" s="208"/>
      <c r="O48" s="208"/>
      <c r="P48" s="208"/>
      <c r="Q48" s="208"/>
      <c r="R48" s="208"/>
      <c r="S48" s="208"/>
      <c r="T48" s="209"/>
    </row>
    <row r="49" customFormat="false" ht="98.5" hidden="false" customHeight="false" outlineLevel="0" collapsed="false">
      <c r="A49" s="215"/>
      <c r="B49" s="178" t="s">
        <v>148</v>
      </c>
      <c r="C49" s="178"/>
      <c r="D49" s="178"/>
      <c r="E49" s="179"/>
      <c r="F49" s="180" t="n">
        <v>46300</v>
      </c>
      <c r="G49" s="180" t="n">
        <v>46300</v>
      </c>
      <c r="H49" s="180" t="n">
        <v>46300</v>
      </c>
      <c r="I49" s="180" t="n">
        <v>46300</v>
      </c>
      <c r="J49" s="180" t="n">
        <v>46300</v>
      </c>
      <c r="K49" s="180" t="n">
        <v>46300</v>
      </c>
      <c r="L49" s="180" t="n">
        <v>46300</v>
      </c>
      <c r="M49" s="181"/>
      <c r="N49" s="181"/>
      <c r="O49" s="181"/>
      <c r="P49" s="181"/>
      <c r="Q49" s="181"/>
      <c r="R49" s="181"/>
      <c r="S49" s="181"/>
      <c r="T49" s="182"/>
    </row>
    <row r="50" customFormat="false" ht="30.55" hidden="false" customHeight="false" outlineLevel="0" collapsed="false">
      <c r="A50" s="216"/>
      <c r="B50" s="184" t="s">
        <v>149</v>
      </c>
      <c r="C50" s="184"/>
      <c r="D50" s="184"/>
      <c r="E50" s="185"/>
      <c r="F50" s="186"/>
      <c r="G50" s="186"/>
      <c r="H50" s="186"/>
      <c r="I50" s="186" t="s">
        <v>174</v>
      </c>
      <c r="J50" s="186"/>
      <c r="K50" s="186"/>
      <c r="L50" s="186"/>
      <c r="M50" s="186"/>
      <c r="N50" s="186"/>
      <c r="O50" s="186"/>
      <c r="P50" s="186"/>
      <c r="Q50" s="186"/>
      <c r="R50" s="186"/>
      <c r="S50" s="186"/>
      <c r="T50" s="187"/>
    </row>
    <row r="51" customFormat="false" ht="13.5" hidden="false" customHeight="false" outlineLevel="0" collapsed="false">
      <c r="A51" s="119"/>
      <c r="B51" s="118"/>
      <c r="C51" s="120"/>
      <c r="D51" s="118"/>
    </row>
  </sheetData>
  <mergeCells count="27">
    <mergeCell ref="A2:B2"/>
    <mergeCell ref="C2:D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47:D47"/>
    <mergeCell ref="B48:D48"/>
    <mergeCell ref="B49:D49"/>
    <mergeCell ref="B50:D50"/>
  </mergeCells>
  <dataValidations count="3">
    <dataValidation allowBlank="true" errorStyle="stop" operator="between" showDropDown="false" showErrorMessage="true" showInputMessage="false" sqref="F39:T39" type="list">
      <formula1>"N,A,B,"</formula1>
      <formula2>0</formula2>
    </dataValidation>
    <dataValidation allowBlank="true" errorStyle="stop" operator="between" showDropDown="false" showErrorMessage="true" showInputMessage="false" sqref="F40:T40" type="list">
      <formula1>"P,F,"</formula1>
      <formula2>0</formula2>
    </dataValidation>
    <dataValidation allowBlank="true" errorStyle="stop" operator="between" showDropDown="false" showErrorMessage="true" showInputMessage="false" sqref="F10:T38" type="list">
      <formula1>"O,"</formula1>
      <formula2>0</formula2>
    </dataValidation>
  </dataValidations>
  <printOptions headings="false" gridLines="false" gridLinesSet="true" horizontalCentered="false" verticalCentered="false"/>
  <pageMargins left="0.75" right="0.75" top="0.75" bottom="0.75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&amp;L&amp;"Tahoma,Regular"&amp;10 02ae-BM/PM/HDCV/FSOFT v2/1&amp;C&amp;"Tahoma,Regular"&amp;10 Internal use&amp;R&amp;"Tahoma,Regular"&amp;10 &amp;P/&amp;N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9609375" defaultRowHeight="13.5" zeroHeight="false" outlineLevelRow="0" outlineLevelCol="0"/>
  <cols>
    <col collapsed="false" customWidth="true" hidden="false" outlineLevel="0" max="1" min="1" style="118" width="8.16"/>
    <col collapsed="false" customWidth="true" hidden="false" outlineLevel="0" max="2" min="2" style="119" width="13.32"/>
    <col collapsed="false" customWidth="true" hidden="false" outlineLevel="0" max="3" min="3" style="118" width="10.82"/>
    <col collapsed="false" customWidth="true" hidden="false" outlineLevel="0" max="4" min="4" style="120" width="11.32"/>
    <col collapsed="false" customWidth="true" hidden="true" outlineLevel="0" max="5" min="5" style="118" width="1.82"/>
    <col collapsed="false" customWidth="true" hidden="false" outlineLevel="0" max="21" min="6" style="118" width="2.82"/>
    <col collapsed="false" customWidth="false" hidden="false" outlineLevel="0" max="257" min="22" style="118" width="8.99"/>
  </cols>
  <sheetData>
    <row r="1" customFormat="false" ht="13.5" hidden="false" customHeight="true" outlineLevel="0" collapsed="false">
      <c r="A1" s="121"/>
      <c r="B1" s="122"/>
    </row>
    <row r="2" customFormat="false" ht="13.5" hidden="false" customHeight="true" outlineLevel="0" collapsed="false">
      <c r="A2" s="123" t="s">
        <v>118</v>
      </c>
      <c r="B2" s="123"/>
      <c r="C2" s="124" t="str">
        <f aca="false">Functions!E14</f>
        <v>Function4</v>
      </c>
      <c r="D2" s="124"/>
      <c r="E2" s="124"/>
      <c r="F2" s="125" t="s">
        <v>73</v>
      </c>
      <c r="G2" s="125"/>
      <c r="H2" s="125"/>
      <c r="I2" s="125"/>
      <c r="J2" s="125"/>
      <c r="K2" s="125"/>
      <c r="L2" s="126" t="str">
        <f aca="false">Functions!D14</f>
        <v>calculateTotal(Product p)</v>
      </c>
      <c r="M2" s="126"/>
      <c r="N2" s="126"/>
      <c r="O2" s="126"/>
      <c r="P2" s="126"/>
      <c r="Q2" s="126"/>
      <c r="R2" s="126"/>
      <c r="S2" s="126"/>
      <c r="T2" s="126"/>
      <c r="V2" s="127"/>
    </row>
    <row r="3" customFormat="false" ht="13.5" hidden="false" customHeight="true" outlineLevel="0" collapsed="false">
      <c r="A3" s="128" t="s">
        <v>119</v>
      </c>
      <c r="B3" s="128"/>
      <c r="C3" s="129" t="s">
        <v>49</v>
      </c>
      <c r="D3" s="129"/>
      <c r="E3" s="129"/>
      <c r="F3" s="130" t="s">
        <v>120</v>
      </c>
      <c r="G3" s="130"/>
      <c r="H3" s="130"/>
      <c r="I3" s="130"/>
      <c r="J3" s="130"/>
      <c r="K3" s="130"/>
      <c r="L3" s="131" t="s">
        <v>49</v>
      </c>
      <c r="M3" s="131"/>
      <c r="N3" s="131"/>
      <c r="O3" s="132"/>
      <c r="P3" s="132"/>
      <c r="Q3" s="132"/>
      <c r="R3" s="132"/>
      <c r="S3" s="132"/>
      <c r="T3" s="133"/>
    </row>
    <row r="4" customFormat="false" ht="13.5" hidden="false" customHeight="true" outlineLevel="0" collapsed="false">
      <c r="A4" s="128" t="s">
        <v>121</v>
      </c>
      <c r="B4" s="128"/>
      <c r="C4" s="134" t="n">
        <v>6</v>
      </c>
      <c r="D4" s="134"/>
      <c r="E4" s="135"/>
      <c r="F4" s="130" t="s">
        <v>122</v>
      </c>
      <c r="G4" s="130"/>
      <c r="H4" s="130"/>
      <c r="I4" s="130"/>
      <c r="J4" s="130"/>
      <c r="K4" s="130"/>
      <c r="L4" s="136" t="n">
        <f aca="false">IF(Functions!E6&lt;&gt;"N/A",SUM(C4*Functions!E6/1000,-O7),"N/A")</f>
        <v>-6.4</v>
      </c>
      <c r="M4" s="136"/>
      <c r="N4" s="136"/>
      <c r="O4" s="136"/>
      <c r="P4" s="136"/>
      <c r="Q4" s="136"/>
      <c r="R4" s="136"/>
      <c r="S4" s="136"/>
      <c r="T4" s="136"/>
      <c r="V4" s="127"/>
    </row>
    <row r="5" customFormat="false" ht="13.5" hidden="false" customHeight="true" outlineLevel="0" collapsed="false">
      <c r="A5" s="128" t="s">
        <v>123</v>
      </c>
      <c r="B5" s="128"/>
      <c r="C5" s="137" t="s">
        <v>95</v>
      </c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</row>
    <row r="6" customFormat="false" ht="13.5" hidden="false" customHeight="true" outlineLevel="0" collapsed="false">
      <c r="A6" s="138" t="s">
        <v>105</v>
      </c>
      <c r="B6" s="138"/>
      <c r="C6" s="139" t="s">
        <v>106</v>
      </c>
      <c r="D6" s="139"/>
      <c r="E6" s="139"/>
      <c r="F6" s="139" t="s">
        <v>107</v>
      </c>
      <c r="G6" s="139"/>
      <c r="H6" s="139"/>
      <c r="I6" s="139"/>
      <c r="J6" s="139"/>
      <c r="K6" s="139"/>
      <c r="L6" s="140" t="s">
        <v>124</v>
      </c>
      <c r="M6" s="140"/>
      <c r="N6" s="140"/>
      <c r="O6" s="141" t="s">
        <v>110</v>
      </c>
      <c r="P6" s="141"/>
      <c r="Q6" s="141"/>
      <c r="R6" s="141"/>
      <c r="S6" s="141"/>
      <c r="T6" s="141"/>
      <c r="V6" s="127"/>
    </row>
    <row r="7" customFormat="false" ht="13.5" hidden="false" customHeight="true" outlineLevel="0" collapsed="false">
      <c r="A7" s="142" t="n">
        <f aca="false">COUNTIF(F48:HQ48,"P")</f>
        <v>7</v>
      </c>
      <c r="B7" s="142"/>
      <c r="C7" s="143" t="n">
        <f aca="false">COUNTIF(F48:HQ48,"F")</f>
        <v>0</v>
      </c>
      <c r="D7" s="143"/>
      <c r="E7" s="143"/>
      <c r="F7" s="143" t="n">
        <f aca="false">SUM(O7,-A7,-C7)</f>
        <v>0</v>
      </c>
      <c r="G7" s="143"/>
      <c r="H7" s="143"/>
      <c r="I7" s="143"/>
      <c r="J7" s="143"/>
      <c r="K7" s="143"/>
      <c r="L7" s="144" t="n">
        <f aca="false">COUNTIF(E47:HQ47,"N")</f>
        <v>3</v>
      </c>
      <c r="M7" s="144" t="n">
        <f aca="false">COUNTIF(E47:HQ47,"A")</f>
        <v>1</v>
      </c>
      <c r="N7" s="144" t="n">
        <f aca="false">COUNTIF(E47:HQ47,"B")</f>
        <v>3</v>
      </c>
      <c r="O7" s="145" t="n">
        <f aca="false">COUNTA(F9:HT9)</f>
        <v>7</v>
      </c>
      <c r="P7" s="145"/>
      <c r="Q7" s="145"/>
      <c r="R7" s="145"/>
      <c r="S7" s="145"/>
      <c r="T7" s="145"/>
      <c r="U7" s="146"/>
    </row>
    <row r="8" customFormat="false" ht="12" hidden="false" customHeight="true" outlineLevel="0" collapsed="false"/>
    <row r="9" customFormat="false" ht="46.5" hidden="false" customHeight="true" outlineLevel="0" collapsed="false">
      <c r="A9" s="147"/>
      <c r="B9" s="148"/>
      <c r="C9" s="149"/>
      <c r="D9" s="150"/>
      <c r="E9" s="149"/>
      <c r="F9" s="151" t="s">
        <v>175</v>
      </c>
      <c r="G9" s="151" t="s">
        <v>176</v>
      </c>
      <c r="H9" s="151" t="s">
        <v>177</v>
      </c>
      <c r="I9" s="151" t="s">
        <v>178</v>
      </c>
      <c r="J9" s="151" t="s">
        <v>179</v>
      </c>
      <c r="K9" s="151" t="s">
        <v>180</v>
      </c>
      <c r="L9" s="151" t="s">
        <v>181</v>
      </c>
      <c r="M9" s="151"/>
      <c r="N9" s="151"/>
      <c r="O9" s="151"/>
      <c r="P9" s="151"/>
      <c r="Q9" s="151"/>
      <c r="R9" s="151"/>
      <c r="S9" s="151"/>
      <c r="T9" s="152"/>
      <c r="U9" s="153"/>
      <c r="V9" s="127"/>
    </row>
    <row r="10" customFormat="false" ht="13.5" hidden="false" customHeight="true" outlineLevel="0" collapsed="false">
      <c r="A10" s="154" t="s">
        <v>130</v>
      </c>
      <c r="B10" s="155" t="s">
        <v>131</v>
      </c>
      <c r="C10" s="156"/>
      <c r="D10" s="157"/>
      <c r="E10" s="158"/>
      <c r="F10" s="159"/>
      <c r="G10" s="159"/>
      <c r="H10" s="159"/>
      <c r="I10" s="159"/>
      <c r="J10" s="159"/>
      <c r="K10" s="159"/>
      <c r="L10" s="159"/>
      <c r="M10" s="159"/>
      <c r="N10" s="159"/>
      <c r="O10" s="159"/>
      <c r="P10" s="159"/>
      <c r="Q10" s="159"/>
      <c r="R10" s="159"/>
      <c r="S10" s="159"/>
      <c r="T10" s="160"/>
    </row>
    <row r="11" customFormat="false" ht="13.5" hidden="false" customHeight="true" outlineLevel="0" collapsed="false">
      <c r="A11" s="161"/>
      <c r="B11" s="162"/>
      <c r="C11" s="163"/>
      <c r="D11" s="164" t="s">
        <v>132</v>
      </c>
      <c r="E11" s="165"/>
      <c r="F11" s="166"/>
      <c r="G11" s="166"/>
      <c r="H11" s="166"/>
      <c r="I11" s="166"/>
      <c r="J11" s="166"/>
      <c r="K11" s="166"/>
      <c r="L11" s="166"/>
      <c r="M11" s="166"/>
      <c r="N11" s="166"/>
      <c r="O11" s="166"/>
      <c r="P11" s="166"/>
      <c r="Q11" s="166"/>
      <c r="R11" s="166"/>
      <c r="S11" s="166"/>
      <c r="T11" s="167"/>
      <c r="V11" s="127"/>
    </row>
    <row r="12" customFormat="false" ht="13.5" hidden="false" customHeight="true" outlineLevel="0" collapsed="false">
      <c r="A12" s="161"/>
      <c r="B12" s="162" t="s">
        <v>133</v>
      </c>
      <c r="C12" s="163"/>
      <c r="D12" s="164"/>
      <c r="E12" s="165"/>
      <c r="F12" s="166"/>
      <c r="G12" s="166"/>
      <c r="H12" s="166"/>
      <c r="I12" s="166"/>
      <c r="J12" s="166"/>
      <c r="K12" s="166"/>
      <c r="L12" s="166"/>
      <c r="M12" s="166"/>
      <c r="N12" s="166"/>
      <c r="O12" s="166"/>
      <c r="P12" s="166"/>
      <c r="Q12" s="166"/>
      <c r="R12" s="166"/>
      <c r="S12" s="166"/>
      <c r="T12" s="167"/>
    </row>
    <row r="13" customFormat="false" ht="13.5" hidden="false" customHeight="true" outlineLevel="0" collapsed="false">
      <c r="A13" s="161"/>
      <c r="B13" s="162"/>
      <c r="C13" s="163"/>
      <c r="D13" s="164" t="n">
        <v>500</v>
      </c>
      <c r="E13" s="165"/>
      <c r="F13" s="166" t="s">
        <v>134</v>
      </c>
      <c r="G13" s="166" t="s">
        <v>134</v>
      </c>
      <c r="H13" s="166"/>
      <c r="I13" s="166"/>
      <c r="J13" s="166"/>
      <c r="K13" s="166"/>
      <c r="L13" s="166"/>
      <c r="M13" s="166"/>
      <c r="N13" s="166"/>
      <c r="O13" s="166"/>
      <c r="P13" s="166"/>
      <c r="Q13" s="166"/>
      <c r="R13" s="166"/>
      <c r="S13" s="166"/>
      <c r="T13" s="167"/>
    </row>
    <row r="14" customFormat="false" ht="13.5" hidden="false" customHeight="true" outlineLevel="0" collapsed="false">
      <c r="A14" s="161"/>
      <c r="B14" s="162"/>
      <c r="C14" s="163"/>
      <c r="D14" s="164" t="n">
        <v>1000</v>
      </c>
      <c r="E14" s="165"/>
      <c r="F14" s="166"/>
      <c r="G14" s="166"/>
      <c r="H14" s="166" t="s">
        <v>134</v>
      </c>
      <c r="I14" s="166" t="s">
        <v>134</v>
      </c>
      <c r="J14" s="166"/>
      <c r="K14" s="166"/>
      <c r="L14" s="166"/>
      <c r="M14" s="166"/>
      <c r="N14" s="166"/>
      <c r="O14" s="166"/>
      <c r="P14" s="166"/>
      <c r="Q14" s="166"/>
      <c r="R14" s="166"/>
      <c r="S14" s="166"/>
      <c r="T14" s="167"/>
    </row>
    <row r="15" customFormat="false" ht="13.5" hidden="false" customHeight="true" outlineLevel="0" collapsed="false">
      <c r="A15" s="161"/>
      <c r="B15" s="162"/>
      <c r="C15" s="163"/>
      <c r="D15" s="164" t="n">
        <v>2000</v>
      </c>
      <c r="E15" s="165"/>
      <c r="F15" s="166"/>
      <c r="G15" s="166"/>
      <c r="H15" s="166"/>
      <c r="I15" s="166"/>
      <c r="J15" s="166" t="s">
        <v>134</v>
      </c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customFormat="false" ht="13.5" hidden="false" customHeight="true" outlineLevel="0" collapsed="false">
      <c r="A16" s="161"/>
      <c r="B16" s="162"/>
      <c r="C16" s="163"/>
      <c r="D16" s="164" t="n">
        <v>3000</v>
      </c>
      <c r="E16" s="165"/>
      <c r="F16" s="166"/>
      <c r="G16" s="166"/>
      <c r="H16" s="166"/>
      <c r="I16" s="166"/>
      <c r="J16" s="166"/>
      <c r="K16" s="166" t="s">
        <v>134</v>
      </c>
      <c r="L16" s="166"/>
      <c r="M16" s="166"/>
      <c r="N16" s="166"/>
      <c r="O16" s="166"/>
      <c r="P16" s="166"/>
      <c r="Q16" s="166"/>
      <c r="R16" s="166"/>
      <c r="S16" s="166"/>
      <c r="T16" s="167"/>
    </row>
    <row r="17" customFormat="false" ht="13.5" hidden="false" customHeight="true" outlineLevel="0" collapsed="false">
      <c r="A17" s="161"/>
      <c r="B17" s="162" t="s">
        <v>135</v>
      </c>
      <c r="C17" s="163"/>
      <c r="D17" s="164"/>
      <c r="E17" s="165"/>
      <c r="F17" s="166"/>
      <c r="G17" s="166"/>
      <c r="H17" s="166"/>
      <c r="I17" s="166"/>
      <c r="J17" s="166"/>
      <c r="K17" s="166"/>
      <c r="L17" s="166"/>
      <c r="M17" s="166"/>
      <c r="N17" s="166"/>
      <c r="O17" s="166"/>
      <c r="P17" s="166"/>
      <c r="Q17" s="166"/>
      <c r="R17" s="166"/>
      <c r="S17" s="166"/>
      <c r="T17" s="167"/>
      <c r="U17" s="168"/>
    </row>
    <row r="18" customFormat="false" ht="13.5" hidden="false" customHeight="true" outlineLevel="0" collapsed="false">
      <c r="A18" s="161"/>
      <c r="B18" s="162"/>
      <c r="C18" s="163"/>
      <c r="D18" s="164" t="n">
        <v>1</v>
      </c>
      <c r="E18" s="165"/>
      <c r="F18" s="166" t="s">
        <v>134</v>
      </c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166"/>
      <c r="T18" s="167"/>
      <c r="U18" s="168"/>
    </row>
    <row r="19" customFormat="false" ht="13.5" hidden="false" customHeight="true" outlineLevel="0" collapsed="false">
      <c r="A19" s="161"/>
      <c r="B19" s="162"/>
      <c r="C19" s="163"/>
      <c r="D19" s="164" t="n">
        <v>3</v>
      </c>
      <c r="E19" s="165"/>
      <c r="F19" s="166"/>
      <c r="G19" s="166" t="s">
        <v>134</v>
      </c>
      <c r="H19" s="166"/>
      <c r="I19" s="166"/>
      <c r="J19" s="166"/>
      <c r="K19" s="166"/>
      <c r="L19" s="166"/>
      <c r="M19" s="166"/>
      <c r="N19" s="166"/>
      <c r="O19" s="166"/>
      <c r="P19" s="166"/>
      <c r="Q19" s="166"/>
      <c r="R19" s="166"/>
      <c r="S19" s="166"/>
      <c r="T19" s="167"/>
    </row>
    <row r="20" customFormat="false" ht="13.5" hidden="false" customHeight="true" outlineLevel="0" collapsed="false">
      <c r="A20" s="161"/>
      <c r="B20" s="162"/>
      <c r="C20" s="163"/>
      <c r="D20" s="164" t="n">
        <v>2</v>
      </c>
      <c r="E20" s="165"/>
      <c r="F20" s="166"/>
      <c r="G20" s="166"/>
      <c r="H20" s="166" t="s">
        <v>134</v>
      </c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167"/>
    </row>
    <row r="21" customFormat="false" ht="13.5" hidden="false" customHeight="true" outlineLevel="0" collapsed="false">
      <c r="A21" s="161"/>
      <c r="B21" s="162"/>
      <c r="C21" s="163"/>
      <c r="D21" s="164" t="n">
        <v>5</v>
      </c>
      <c r="E21" s="165"/>
      <c r="F21" s="166"/>
      <c r="G21" s="166"/>
      <c r="H21" s="166"/>
      <c r="I21" s="166" t="s">
        <v>134</v>
      </c>
      <c r="J21" s="166" t="s">
        <v>134</v>
      </c>
      <c r="K21" s="166"/>
      <c r="L21" s="166"/>
      <c r="M21" s="166"/>
      <c r="N21" s="166"/>
      <c r="O21" s="166"/>
      <c r="P21" s="166"/>
      <c r="Q21" s="166"/>
      <c r="R21" s="166"/>
      <c r="S21" s="166"/>
      <c r="T21" s="167"/>
    </row>
    <row r="22" customFormat="false" ht="13.5" hidden="false" customHeight="true" outlineLevel="0" collapsed="false">
      <c r="A22" s="161"/>
      <c r="B22" s="162"/>
      <c r="C22" s="163"/>
      <c r="D22" s="164" t="n">
        <v>10</v>
      </c>
      <c r="E22" s="165"/>
      <c r="F22" s="166"/>
      <c r="G22" s="166"/>
      <c r="H22" s="166"/>
      <c r="I22" s="166"/>
      <c r="J22" s="166"/>
      <c r="K22" s="166" t="s">
        <v>134</v>
      </c>
      <c r="L22" s="166"/>
      <c r="M22" s="166"/>
      <c r="N22" s="166"/>
      <c r="O22" s="166"/>
      <c r="P22" s="166"/>
      <c r="Q22" s="166"/>
      <c r="R22" s="166"/>
      <c r="S22" s="166"/>
      <c r="T22" s="167"/>
    </row>
    <row r="23" customFormat="false" ht="13.5" hidden="false" customHeight="true" outlineLevel="0" collapsed="false">
      <c r="A23" s="161"/>
      <c r="B23" s="162" t="s">
        <v>136</v>
      </c>
      <c r="C23" s="163"/>
      <c r="D23" s="164"/>
      <c r="E23" s="165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  <c r="Q23" s="166"/>
      <c r="R23" s="166"/>
      <c r="S23" s="166"/>
      <c r="T23" s="167"/>
    </row>
    <row r="24" customFormat="false" ht="13.5" hidden="false" customHeight="true" outlineLevel="0" collapsed="false">
      <c r="A24" s="161"/>
      <c r="B24" s="162"/>
      <c r="C24" s="163"/>
      <c r="D24" s="164" t="s">
        <v>137</v>
      </c>
      <c r="E24" s="165"/>
      <c r="F24" s="166"/>
      <c r="G24" s="166"/>
      <c r="H24" s="166"/>
      <c r="I24" s="166"/>
      <c r="J24" s="166"/>
      <c r="K24" s="166"/>
      <c r="L24" s="166" t="s">
        <v>134</v>
      </c>
      <c r="M24" s="166"/>
      <c r="N24" s="166"/>
      <c r="O24" s="166"/>
      <c r="P24" s="166"/>
      <c r="Q24" s="166"/>
      <c r="R24" s="166"/>
      <c r="S24" s="166"/>
      <c r="T24" s="167"/>
    </row>
    <row r="25" customFormat="false" ht="13.5" hidden="false" customHeight="true" outlineLevel="0" collapsed="false">
      <c r="A25" s="161" t="s">
        <v>138</v>
      </c>
      <c r="B25" s="162" t="s">
        <v>139</v>
      </c>
      <c r="C25" s="163"/>
      <c r="D25" s="164"/>
      <c r="E25" s="165"/>
      <c r="F25" s="166"/>
      <c r="G25" s="166"/>
      <c r="H25" s="166"/>
      <c r="I25" s="166"/>
      <c r="J25" s="166"/>
      <c r="K25" s="166"/>
      <c r="L25" s="166"/>
      <c r="M25" s="166"/>
      <c r="N25" s="166"/>
      <c r="O25" s="166"/>
      <c r="P25" s="166"/>
      <c r="Q25" s="166"/>
      <c r="R25" s="166"/>
      <c r="S25" s="166"/>
      <c r="T25" s="167"/>
    </row>
    <row r="26" customFormat="false" ht="13.5" hidden="false" customHeight="true" outlineLevel="0" collapsed="false">
      <c r="A26" s="161"/>
      <c r="B26" s="162"/>
      <c r="C26" s="163"/>
      <c r="D26" s="164" t="n">
        <v>550</v>
      </c>
      <c r="E26" s="165"/>
      <c r="F26" s="166" t="s">
        <v>134</v>
      </c>
      <c r="G26" s="166"/>
      <c r="H26" s="166"/>
      <c r="I26" s="166"/>
      <c r="J26" s="166"/>
      <c r="K26" s="166"/>
      <c r="L26" s="166"/>
      <c r="M26" s="166"/>
      <c r="N26" s="166"/>
      <c r="O26" s="166"/>
      <c r="P26" s="166"/>
      <c r="Q26" s="166"/>
      <c r="R26" s="166"/>
      <c r="S26" s="166"/>
      <c r="T26" s="167"/>
    </row>
    <row r="27" customFormat="false" ht="13.5" hidden="false" customHeight="true" outlineLevel="0" collapsed="false">
      <c r="A27" s="161"/>
      <c r="B27" s="162"/>
      <c r="C27" s="163"/>
      <c r="D27" s="164" t="n">
        <v>1475</v>
      </c>
      <c r="E27" s="165"/>
      <c r="F27" s="166"/>
      <c r="G27" s="166" t="s">
        <v>134</v>
      </c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167"/>
    </row>
    <row r="28" customFormat="false" ht="13.5" hidden="false" customHeight="true" outlineLevel="0" collapsed="false">
      <c r="A28" s="161"/>
      <c r="B28" s="162"/>
      <c r="C28" s="163"/>
      <c r="D28" s="164" t="n">
        <v>1900</v>
      </c>
      <c r="E28" s="165"/>
      <c r="F28" s="166"/>
      <c r="G28" s="166"/>
      <c r="H28" s="166" t="s">
        <v>134</v>
      </c>
      <c r="I28" s="166"/>
      <c r="J28" s="166"/>
      <c r="K28" s="166"/>
      <c r="L28" s="166"/>
      <c r="M28" s="166"/>
      <c r="N28" s="166"/>
      <c r="O28" s="166"/>
      <c r="P28" s="166"/>
      <c r="Q28" s="166"/>
      <c r="R28" s="166"/>
      <c r="S28" s="166"/>
      <c r="T28" s="167"/>
    </row>
    <row r="29" customFormat="false" ht="13.5" hidden="false" customHeight="true" outlineLevel="0" collapsed="false">
      <c r="A29" s="161"/>
      <c r="B29" s="162"/>
      <c r="C29" s="163"/>
      <c r="D29" s="164" t="n">
        <v>4500</v>
      </c>
      <c r="E29" s="165"/>
      <c r="F29" s="166"/>
      <c r="G29" s="166"/>
      <c r="H29" s="166"/>
      <c r="I29" s="166" t="s">
        <v>134</v>
      </c>
      <c r="J29" s="166"/>
      <c r="K29" s="166"/>
      <c r="L29" s="166"/>
      <c r="M29" s="166"/>
      <c r="N29" s="166"/>
      <c r="O29" s="166"/>
      <c r="P29" s="166"/>
      <c r="Q29" s="166"/>
      <c r="R29" s="166"/>
      <c r="S29" s="166"/>
      <c r="T29" s="167"/>
    </row>
    <row r="30" customFormat="false" ht="13.5" hidden="false" customHeight="true" outlineLevel="0" collapsed="false">
      <c r="A30" s="161"/>
      <c r="B30" s="162"/>
      <c r="C30" s="163"/>
      <c r="D30" s="164" t="n">
        <v>8500</v>
      </c>
      <c r="E30" s="165"/>
      <c r="F30" s="166"/>
      <c r="G30" s="166"/>
      <c r="H30" s="166"/>
      <c r="I30" s="166"/>
      <c r="J30" s="166" t="s">
        <v>134</v>
      </c>
      <c r="K30" s="166"/>
      <c r="L30" s="166"/>
      <c r="M30" s="166"/>
      <c r="N30" s="166"/>
      <c r="O30" s="166"/>
      <c r="P30" s="166"/>
      <c r="Q30" s="166"/>
      <c r="R30" s="166"/>
      <c r="S30" s="166"/>
      <c r="T30" s="167"/>
    </row>
    <row r="31" customFormat="false" ht="13.5" hidden="false" customHeight="true" outlineLevel="0" collapsed="false">
      <c r="A31" s="161"/>
      <c r="B31" s="162"/>
      <c r="C31" s="163"/>
      <c r="D31" s="164" t="n">
        <v>25500</v>
      </c>
      <c r="E31" s="165"/>
      <c r="F31" s="166"/>
      <c r="G31" s="166"/>
      <c r="H31" s="166"/>
      <c r="I31" s="166"/>
      <c r="J31" s="166"/>
      <c r="K31" s="166" t="s">
        <v>134</v>
      </c>
      <c r="L31" s="166"/>
      <c r="M31" s="166"/>
      <c r="N31" s="166"/>
      <c r="O31" s="166"/>
      <c r="P31" s="166"/>
      <c r="Q31" s="166"/>
      <c r="R31" s="166"/>
      <c r="S31" s="166"/>
      <c r="T31" s="167"/>
    </row>
    <row r="32" customFormat="false" ht="13.5" hidden="false" customHeight="true" outlineLevel="0" collapsed="false">
      <c r="A32" s="161"/>
      <c r="B32" s="162" t="s">
        <v>140</v>
      </c>
      <c r="C32" s="163"/>
      <c r="D32" s="164"/>
      <c r="E32" s="165"/>
      <c r="F32" s="166"/>
      <c r="G32" s="166"/>
      <c r="H32" s="166"/>
      <c r="I32" s="166"/>
      <c r="J32" s="166"/>
      <c r="K32" s="166"/>
      <c r="L32" s="166"/>
      <c r="M32" s="166"/>
      <c r="N32" s="166"/>
      <c r="O32" s="166"/>
      <c r="P32" s="166"/>
      <c r="Q32" s="166"/>
      <c r="R32" s="166"/>
      <c r="S32" s="166"/>
      <c r="T32" s="167"/>
    </row>
    <row r="33" customFormat="false" ht="13.5" hidden="false" customHeight="true" outlineLevel="0" collapsed="false">
      <c r="A33" s="161"/>
      <c r="B33" s="162"/>
      <c r="C33" s="163"/>
      <c r="D33" s="164" t="s">
        <v>141</v>
      </c>
      <c r="E33" s="165"/>
      <c r="F33" s="166"/>
      <c r="G33" s="166"/>
      <c r="H33" s="166"/>
      <c r="I33" s="166"/>
      <c r="J33" s="166"/>
      <c r="K33" s="166"/>
      <c r="L33" s="166" t="s">
        <v>134</v>
      </c>
      <c r="M33" s="166"/>
      <c r="N33" s="166"/>
      <c r="O33" s="166"/>
      <c r="P33" s="166"/>
      <c r="Q33" s="166"/>
      <c r="R33" s="166"/>
      <c r="S33" s="166"/>
      <c r="T33" s="167"/>
    </row>
    <row r="34" customFormat="false" ht="13.5" hidden="false" customHeight="true" outlineLevel="0" collapsed="false">
      <c r="A34" s="161"/>
      <c r="B34" s="162" t="s">
        <v>142</v>
      </c>
      <c r="C34" s="163"/>
      <c r="D34" s="164"/>
      <c r="E34" s="165"/>
      <c r="F34" s="166"/>
      <c r="G34" s="166"/>
      <c r="H34" s="166"/>
      <c r="I34" s="166"/>
      <c r="J34" s="166"/>
      <c r="K34" s="166"/>
      <c r="L34" s="166"/>
      <c r="M34" s="166"/>
      <c r="N34" s="166"/>
      <c r="O34" s="166"/>
      <c r="P34" s="166"/>
      <c r="Q34" s="166"/>
      <c r="R34" s="166"/>
      <c r="S34" s="166"/>
      <c r="T34" s="167"/>
    </row>
    <row r="35" customFormat="false" ht="13.5" hidden="false" customHeight="true" outlineLevel="0" collapsed="false">
      <c r="A35" s="161"/>
      <c r="B35" s="162"/>
      <c r="C35" s="163"/>
      <c r="D35" s="164" t="s">
        <v>143</v>
      </c>
      <c r="E35" s="165"/>
      <c r="F35" s="166"/>
      <c r="G35" s="166"/>
      <c r="H35" s="166"/>
      <c r="I35" s="166"/>
      <c r="J35" s="166"/>
      <c r="K35" s="166"/>
      <c r="L35" s="166" t="s">
        <v>134</v>
      </c>
      <c r="M35" s="166"/>
      <c r="N35" s="166"/>
      <c r="O35" s="166"/>
      <c r="P35" s="166"/>
      <c r="Q35" s="166"/>
      <c r="R35" s="166"/>
      <c r="S35" s="166"/>
      <c r="T35" s="167"/>
    </row>
    <row r="36" customFormat="false" ht="13.5" hidden="false" customHeight="true" outlineLevel="0" collapsed="false">
      <c r="A36" s="161"/>
      <c r="B36" s="162"/>
      <c r="C36" s="163"/>
      <c r="D36" s="164"/>
      <c r="E36" s="165"/>
      <c r="F36" s="166"/>
      <c r="G36" s="166"/>
      <c r="H36" s="166"/>
      <c r="I36" s="166"/>
      <c r="J36" s="166"/>
      <c r="K36" s="166"/>
      <c r="L36" s="166"/>
      <c r="M36" s="166"/>
      <c r="N36" s="166"/>
      <c r="O36" s="166"/>
      <c r="P36" s="166"/>
      <c r="Q36" s="166"/>
      <c r="R36" s="166"/>
      <c r="S36" s="166"/>
      <c r="T36" s="167"/>
    </row>
    <row r="37" customFormat="false" ht="13.5" hidden="false" customHeight="true" outlineLevel="0" collapsed="false">
      <c r="A37" s="161"/>
      <c r="B37" s="162"/>
      <c r="C37" s="163"/>
      <c r="D37" s="164"/>
      <c r="E37" s="165"/>
      <c r="F37" s="166"/>
      <c r="G37" s="166"/>
      <c r="H37" s="166"/>
      <c r="I37" s="166"/>
      <c r="J37" s="166"/>
      <c r="K37" s="166"/>
      <c r="L37" s="166"/>
      <c r="M37" s="166"/>
      <c r="N37" s="166"/>
      <c r="O37" s="166"/>
      <c r="P37" s="166"/>
      <c r="Q37" s="166"/>
      <c r="R37" s="166"/>
      <c r="S37" s="166"/>
      <c r="T37" s="167"/>
    </row>
    <row r="38" customFormat="false" ht="13.5" hidden="false" customHeight="true" outlineLevel="0" collapsed="false">
      <c r="A38" s="161"/>
      <c r="B38" s="162"/>
      <c r="C38" s="163"/>
      <c r="D38" s="164"/>
      <c r="E38" s="165"/>
      <c r="F38" s="166"/>
      <c r="G38" s="166"/>
      <c r="H38" s="166"/>
      <c r="I38" s="166"/>
      <c r="J38" s="166"/>
      <c r="K38" s="166"/>
      <c r="L38" s="166"/>
      <c r="M38" s="166"/>
      <c r="N38" s="166"/>
      <c r="O38" s="166"/>
      <c r="P38" s="166"/>
      <c r="Q38" s="166"/>
      <c r="R38" s="166"/>
      <c r="S38" s="166"/>
      <c r="T38" s="167"/>
    </row>
    <row r="39" customFormat="false" ht="13.5" hidden="false" customHeight="true" outlineLevel="0" collapsed="false">
      <c r="A39" s="161"/>
      <c r="B39" s="162"/>
      <c r="C39" s="163"/>
      <c r="D39" s="164"/>
      <c r="E39" s="165"/>
      <c r="F39" s="166"/>
      <c r="G39" s="166"/>
      <c r="H39" s="166"/>
      <c r="I39" s="166"/>
      <c r="J39" s="166"/>
      <c r="K39" s="166"/>
      <c r="L39" s="166"/>
      <c r="M39" s="166"/>
      <c r="N39" s="166"/>
      <c r="O39" s="166"/>
      <c r="P39" s="166"/>
      <c r="Q39" s="166"/>
      <c r="R39" s="166"/>
      <c r="S39" s="166"/>
      <c r="T39" s="167"/>
    </row>
    <row r="40" customFormat="false" ht="13.5" hidden="false" customHeight="true" outlineLevel="0" collapsed="false">
      <c r="A40" s="161"/>
      <c r="B40" s="162"/>
      <c r="C40" s="163"/>
      <c r="D40" s="164"/>
      <c r="E40" s="165"/>
      <c r="F40" s="166"/>
      <c r="G40" s="166"/>
      <c r="H40" s="166"/>
      <c r="I40" s="166"/>
      <c r="J40" s="166"/>
      <c r="K40" s="166"/>
      <c r="L40" s="166"/>
      <c r="M40" s="166"/>
      <c r="N40" s="166"/>
      <c r="O40" s="166"/>
      <c r="P40" s="166"/>
      <c r="Q40" s="166"/>
      <c r="R40" s="166"/>
      <c r="S40" s="166"/>
      <c r="T40" s="167"/>
    </row>
    <row r="41" customFormat="false" ht="13.5" hidden="false" customHeight="true" outlineLevel="0" collapsed="false">
      <c r="A41" s="161"/>
      <c r="B41" s="162"/>
      <c r="C41" s="163"/>
      <c r="D41" s="164"/>
      <c r="E41" s="165"/>
      <c r="F41" s="166"/>
      <c r="G41" s="166"/>
      <c r="H41" s="166"/>
      <c r="I41" s="166"/>
      <c r="J41" s="166"/>
      <c r="K41" s="166"/>
      <c r="L41" s="166"/>
      <c r="M41" s="166"/>
      <c r="N41" s="166"/>
      <c r="O41" s="166"/>
      <c r="P41" s="166"/>
      <c r="Q41" s="166"/>
      <c r="R41" s="166"/>
      <c r="S41" s="166"/>
      <c r="T41" s="167"/>
    </row>
    <row r="42" customFormat="false" ht="79.5" hidden="false" customHeight="true" outlineLevel="0" collapsed="false">
      <c r="A42" s="161"/>
      <c r="B42" s="162"/>
      <c r="C42" s="163"/>
      <c r="D42" s="164"/>
      <c r="E42" s="165"/>
      <c r="F42" s="166"/>
      <c r="G42" s="166"/>
      <c r="H42" s="166"/>
      <c r="I42" s="166"/>
      <c r="J42" s="166"/>
      <c r="K42" s="166"/>
      <c r="L42" s="166"/>
      <c r="M42" s="166"/>
      <c r="N42" s="166"/>
      <c r="O42" s="166"/>
      <c r="P42" s="166"/>
      <c r="Q42" s="166"/>
      <c r="R42" s="166"/>
      <c r="S42" s="166"/>
      <c r="T42" s="167"/>
    </row>
    <row r="43" customFormat="false" ht="12" hidden="false" customHeight="true" outlineLevel="0" collapsed="false">
      <c r="A43" s="161"/>
      <c r="B43" s="162"/>
      <c r="C43" s="163"/>
      <c r="D43" s="164"/>
      <c r="E43" s="165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7"/>
    </row>
    <row r="44" customFormat="false" ht="15" hidden="false" customHeight="false" outlineLevel="0" collapsed="false">
      <c r="A44" s="161"/>
      <c r="B44" s="162"/>
      <c r="C44" s="163"/>
      <c r="D44" s="164"/>
      <c r="E44" s="165"/>
      <c r="F44" s="166"/>
      <c r="G44" s="166"/>
      <c r="H44" s="166"/>
      <c r="I44" s="166"/>
      <c r="J44" s="166"/>
      <c r="K44" s="166"/>
      <c r="L44" s="166"/>
      <c r="M44" s="166"/>
      <c r="N44" s="166"/>
      <c r="O44" s="166"/>
      <c r="P44" s="166"/>
      <c r="Q44" s="166"/>
      <c r="R44" s="166"/>
      <c r="S44" s="166"/>
      <c r="T44" s="167"/>
    </row>
    <row r="45" customFormat="false" ht="15" hidden="false" customHeight="false" outlineLevel="0" collapsed="false">
      <c r="A45" s="161"/>
      <c r="B45" s="162"/>
      <c r="C45" s="163"/>
      <c r="D45" s="164"/>
      <c r="E45" s="165"/>
      <c r="F45" s="166"/>
      <c r="G45" s="166"/>
      <c r="H45" s="166"/>
      <c r="I45" s="166"/>
      <c r="J45" s="166"/>
      <c r="K45" s="166"/>
      <c r="L45" s="166"/>
      <c r="M45" s="166"/>
      <c r="N45" s="166"/>
      <c r="O45" s="166"/>
      <c r="P45" s="166"/>
      <c r="Q45" s="166"/>
      <c r="R45" s="166"/>
      <c r="S45" s="166"/>
      <c r="T45" s="167"/>
    </row>
    <row r="46" customFormat="false" ht="15" hidden="false" customHeight="false" outlineLevel="0" collapsed="false">
      <c r="A46" s="161"/>
      <c r="B46" s="162"/>
      <c r="C46" s="163"/>
      <c r="D46" s="164"/>
      <c r="E46" s="165"/>
      <c r="F46" s="166"/>
      <c r="G46" s="166"/>
      <c r="H46" s="166"/>
      <c r="I46" s="166"/>
      <c r="J46" s="166"/>
      <c r="K46" s="166"/>
      <c r="L46" s="166"/>
      <c r="M46" s="166"/>
      <c r="N46" s="166"/>
      <c r="O46" s="166"/>
      <c r="P46" s="166"/>
      <c r="Q46" s="166"/>
      <c r="R46" s="166"/>
      <c r="S46" s="166"/>
      <c r="T46" s="167"/>
    </row>
    <row r="47" customFormat="false" ht="13.5" hidden="false" customHeight="false" outlineLevel="0" collapsed="false">
      <c r="A47" s="169" t="s">
        <v>144</v>
      </c>
      <c r="B47" s="170" t="s">
        <v>145</v>
      </c>
      <c r="C47" s="170"/>
      <c r="D47" s="170"/>
      <c r="E47" s="170"/>
      <c r="F47" s="171" t="s">
        <v>108</v>
      </c>
      <c r="G47" s="171" t="s">
        <v>108</v>
      </c>
      <c r="H47" s="171" t="s">
        <v>109</v>
      </c>
      <c r="I47" s="171" t="s">
        <v>109</v>
      </c>
      <c r="J47" s="171" t="s">
        <v>109</v>
      </c>
      <c r="K47" s="171" t="s">
        <v>108</v>
      </c>
      <c r="L47" s="171" t="s">
        <v>63</v>
      </c>
      <c r="M47" s="171"/>
      <c r="N47" s="171"/>
      <c r="O47" s="171"/>
      <c r="P47" s="171"/>
      <c r="Q47" s="171"/>
      <c r="R47" s="171"/>
      <c r="S47" s="171"/>
      <c r="T47" s="172"/>
    </row>
    <row r="48" customFormat="false" ht="13.5" hidden="false" customHeight="false" outlineLevel="0" collapsed="false">
      <c r="A48" s="173"/>
      <c r="B48" s="174" t="s">
        <v>146</v>
      </c>
      <c r="C48" s="174"/>
      <c r="D48" s="174"/>
      <c r="E48" s="175"/>
      <c r="F48" s="176" t="s">
        <v>147</v>
      </c>
      <c r="G48" s="176" t="s">
        <v>147</v>
      </c>
      <c r="H48" s="176" t="s">
        <v>147</v>
      </c>
      <c r="I48" s="176" t="s">
        <v>147</v>
      </c>
      <c r="J48" s="176" t="s">
        <v>147</v>
      </c>
      <c r="K48" s="176" t="s">
        <v>147</v>
      </c>
      <c r="L48" s="176" t="s">
        <v>147</v>
      </c>
      <c r="M48" s="176"/>
      <c r="N48" s="176"/>
      <c r="O48" s="176"/>
      <c r="P48" s="176"/>
      <c r="Q48" s="176"/>
      <c r="R48" s="176"/>
      <c r="S48" s="176"/>
      <c r="T48" s="177"/>
    </row>
    <row r="49" customFormat="false" ht="98.5" hidden="false" customHeight="false" outlineLevel="0" collapsed="false">
      <c r="A49" s="173"/>
      <c r="B49" s="178" t="s">
        <v>148</v>
      </c>
      <c r="C49" s="178"/>
      <c r="D49" s="178"/>
      <c r="E49" s="179"/>
      <c r="F49" s="180" t="n">
        <v>46300</v>
      </c>
      <c r="G49" s="180" t="n">
        <v>46300</v>
      </c>
      <c r="H49" s="180" t="n">
        <v>46300</v>
      </c>
      <c r="I49" s="180" t="n">
        <v>46300</v>
      </c>
      <c r="J49" s="180" t="n">
        <v>46300</v>
      </c>
      <c r="K49" s="180" t="n">
        <v>46300</v>
      </c>
      <c r="L49" s="180" t="n">
        <v>46300</v>
      </c>
      <c r="M49" s="181"/>
      <c r="N49" s="181"/>
      <c r="O49" s="181"/>
      <c r="P49" s="181"/>
      <c r="Q49" s="181"/>
      <c r="R49" s="181"/>
      <c r="S49" s="181"/>
      <c r="T49" s="182"/>
    </row>
    <row r="50" customFormat="false" ht="79.1" hidden="false" customHeight="false" outlineLevel="0" collapsed="false">
      <c r="A50" s="183"/>
      <c r="B50" s="184" t="s">
        <v>149</v>
      </c>
      <c r="C50" s="184"/>
      <c r="D50" s="184"/>
      <c r="E50" s="185"/>
      <c r="F50" s="186" t="s">
        <v>150</v>
      </c>
      <c r="G50" s="186" t="s">
        <v>182</v>
      </c>
      <c r="H50" s="186" t="s">
        <v>182</v>
      </c>
      <c r="I50" s="186" t="s">
        <v>182</v>
      </c>
      <c r="J50" s="186" t="s">
        <v>182</v>
      </c>
      <c r="K50" s="186" t="s">
        <v>182</v>
      </c>
      <c r="L50" s="186"/>
      <c r="M50" s="186"/>
      <c r="N50" s="186"/>
      <c r="O50" s="186"/>
      <c r="P50" s="186"/>
      <c r="Q50" s="186"/>
      <c r="R50" s="186"/>
      <c r="S50" s="186"/>
      <c r="T50" s="187"/>
    </row>
    <row r="51" customFormat="false" ht="13.5" hidden="false" customHeight="false" outlineLevel="0" collapsed="false">
      <c r="A51" s="188"/>
    </row>
  </sheetData>
  <mergeCells count="27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47:D47"/>
    <mergeCell ref="B48:D48"/>
    <mergeCell ref="B49:D49"/>
    <mergeCell ref="B50:D50"/>
  </mergeCells>
  <printOptions headings="false" gridLines="false" gridLinesSet="true" horizontalCentered="false" verticalCentered="false"/>
  <pageMargins left="0.75" right="0.75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9609375" defaultRowHeight="13.5" zeroHeight="false" outlineLevelRow="0" outlineLevelCol="0"/>
  <cols>
    <col collapsed="false" customWidth="true" hidden="false" outlineLevel="0" max="1" min="1" style="118" width="8.16"/>
    <col collapsed="false" customWidth="true" hidden="false" outlineLevel="0" max="2" min="2" style="119" width="13.32"/>
    <col collapsed="false" customWidth="true" hidden="false" outlineLevel="0" max="3" min="3" style="118" width="10.82"/>
    <col collapsed="false" customWidth="true" hidden="false" outlineLevel="0" max="4" min="4" style="120" width="11.32"/>
    <col collapsed="false" customWidth="true" hidden="true" outlineLevel="0" max="5" min="5" style="118" width="1.82"/>
    <col collapsed="false" customWidth="true" hidden="false" outlineLevel="0" max="21" min="6" style="118" width="2.82"/>
    <col collapsed="false" customWidth="false" hidden="false" outlineLevel="0" max="257" min="22" style="118" width="8.99"/>
  </cols>
  <sheetData>
    <row r="1" customFormat="false" ht="13.5" hidden="false" customHeight="true" outlineLevel="0" collapsed="false">
      <c r="A1" s="121"/>
      <c r="B1" s="122"/>
    </row>
    <row r="2" customFormat="false" ht="13.5" hidden="false" customHeight="true" outlineLevel="0" collapsed="false">
      <c r="A2" s="123" t="s">
        <v>118</v>
      </c>
      <c r="B2" s="123"/>
      <c r="C2" s="124" t="str">
        <f aca="false">Functions!E15</f>
        <v>Function5</v>
      </c>
      <c r="D2" s="124"/>
      <c r="E2" s="124"/>
      <c r="F2" s="125" t="s">
        <v>73</v>
      </c>
      <c r="G2" s="125"/>
      <c r="H2" s="125"/>
      <c r="I2" s="125"/>
      <c r="J2" s="125"/>
      <c r="K2" s="125"/>
      <c r="L2" s="126" t="str">
        <f aca="false">Functions!D15</f>
        <v>classifyCustomer(double total)</v>
      </c>
      <c r="M2" s="126"/>
      <c r="N2" s="126"/>
      <c r="O2" s="126"/>
      <c r="P2" s="126"/>
      <c r="Q2" s="126"/>
      <c r="R2" s="126"/>
      <c r="S2" s="126"/>
      <c r="T2" s="126"/>
      <c r="V2" s="127"/>
    </row>
    <row r="3" customFormat="false" ht="13.5" hidden="false" customHeight="true" outlineLevel="0" collapsed="false">
      <c r="A3" s="128" t="s">
        <v>119</v>
      </c>
      <c r="B3" s="128"/>
      <c r="C3" s="129" t="s">
        <v>49</v>
      </c>
      <c r="D3" s="129"/>
      <c r="E3" s="129"/>
      <c r="F3" s="130" t="s">
        <v>120</v>
      </c>
      <c r="G3" s="130"/>
      <c r="H3" s="130"/>
      <c r="I3" s="130"/>
      <c r="J3" s="130"/>
      <c r="K3" s="130"/>
      <c r="L3" s="131" t="s">
        <v>49</v>
      </c>
      <c r="M3" s="131"/>
      <c r="N3" s="131"/>
      <c r="O3" s="132"/>
      <c r="P3" s="132"/>
      <c r="Q3" s="132"/>
      <c r="R3" s="132"/>
      <c r="S3" s="132"/>
      <c r="T3" s="133"/>
    </row>
    <row r="4" customFormat="false" ht="13.5" hidden="false" customHeight="true" outlineLevel="0" collapsed="false">
      <c r="A4" s="128" t="s">
        <v>121</v>
      </c>
      <c r="B4" s="128"/>
      <c r="C4" s="134" t="n">
        <v>11</v>
      </c>
      <c r="D4" s="134"/>
      <c r="E4" s="135"/>
      <c r="F4" s="130" t="s">
        <v>122</v>
      </c>
      <c r="G4" s="130"/>
      <c r="H4" s="130"/>
      <c r="I4" s="130"/>
      <c r="J4" s="130"/>
      <c r="K4" s="130"/>
      <c r="L4" s="136" t="n">
        <f aca="false">IF(Functions!E6&lt;&gt;"N/A",SUM(C4*Functions!E6/1000,-O7),"N/A")</f>
        <v>-8.9</v>
      </c>
      <c r="M4" s="136"/>
      <c r="N4" s="136"/>
      <c r="O4" s="136"/>
      <c r="P4" s="136"/>
      <c r="Q4" s="136"/>
      <c r="R4" s="136"/>
      <c r="S4" s="136"/>
      <c r="T4" s="136"/>
      <c r="V4" s="127"/>
    </row>
    <row r="5" customFormat="false" ht="13.5" hidden="false" customHeight="true" outlineLevel="0" collapsed="false">
      <c r="A5" s="128" t="s">
        <v>123</v>
      </c>
      <c r="B5" s="128"/>
      <c r="C5" s="137" t="s">
        <v>99</v>
      </c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</row>
    <row r="6" customFormat="false" ht="13.5" hidden="false" customHeight="true" outlineLevel="0" collapsed="false">
      <c r="A6" s="138" t="s">
        <v>105</v>
      </c>
      <c r="B6" s="138"/>
      <c r="C6" s="139" t="s">
        <v>106</v>
      </c>
      <c r="D6" s="139"/>
      <c r="E6" s="139"/>
      <c r="F6" s="139" t="s">
        <v>107</v>
      </c>
      <c r="G6" s="139"/>
      <c r="H6" s="139"/>
      <c r="I6" s="139"/>
      <c r="J6" s="139"/>
      <c r="K6" s="139"/>
      <c r="L6" s="140" t="s">
        <v>124</v>
      </c>
      <c r="M6" s="140"/>
      <c r="N6" s="140"/>
      <c r="O6" s="141" t="s">
        <v>110</v>
      </c>
      <c r="P6" s="141"/>
      <c r="Q6" s="141"/>
      <c r="R6" s="141"/>
      <c r="S6" s="141"/>
      <c r="T6" s="141"/>
      <c r="V6" s="127"/>
    </row>
    <row r="7" customFormat="false" ht="13.5" hidden="false" customHeight="true" outlineLevel="0" collapsed="false">
      <c r="A7" s="142" t="n">
        <f aca="false">COUNTIF(F48:HQ48,"P")</f>
        <v>10</v>
      </c>
      <c r="B7" s="142"/>
      <c r="C7" s="143" t="n">
        <f aca="false">COUNTIF(F48:HQ48,"F")</f>
        <v>0</v>
      </c>
      <c r="D7" s="143"/>
      <c r="E7" s="143"/>
      <c r="F7" s="143" t="n">
        <f aca="false">SUM(O7,-A7,-C7)</f>
        <v>0</v>
      </c>
      <c r="G7" s="143"/>
      <c r="H7" s="143"/>
      <c r="I7" s="143"/>
      <c r="J7" s="143"/>
      <c r="K7" s="143"/>
      <c r="L7" s="144" t="n">
        <f aca="false">COUNTIF(E47:HQ47,"N")</f>
        <v>4</v>
      </c>
      <c r="M7" s="144" t="n">
        <f aca="false">COUNTIF(E47:HQ47,"A")</f>
        <v>0</v>
      </c>
      <c r="N7" s="144" t="n">
        <f aca="false">COUNTIF(E47:HQ47,"B")</f>
        <v>6</v>
      </c>
      <c r="O7" s="145" t="n">
        <f aca="false">COUNTA(F9:HT9)</f>
        <v>10</v>
      </c>
      <c r="P7" s="145"/>
      <c r="Q7" s="145"/>
      <c r="R7" s="145"/>
      <c r="S7" s="145"/>
      <c r="T7" s="145"/>
      <c r="U7" s="146"/>
    </row>
    <row r="8" customFormat="false" ht="12" hidden="false" customHeight="true" outlineLevel="0" collapsed="false"/>
    <row r="9" customFormat="false" ht="46.5" hidden="false" customHeight="true" outlineLevel="0" collapsed="false">
      <c r="A9" s="147"/>
      <c r="B9" s="148"/>
      <c r="C9" s="149"/>
      <c r="D9" s="150"/>
      <c r="E9" s="149"/>
      <c r="F9" s="151" t="s">
        <v>183</v>
      </c>
      <c r="G9" s="151" t="s">
        <v>184</v>
      </c>
      <c r="H9" s="151" t="s">
        <v>185</v>
      </c>
      <c r="I9" s="151" t="s">
        <v>186</v>
      </c>
      <c r="J9" s="151" t="s">
        <v>187</v>
      </c>
      <c r="K9" s="151" t="s">
        <v>188</v>
      </c>
      <c r="L9" s="151" t="s">
        <v>189</v>
      </c>
      <c r="M9" s="151" t="s">
        <v>190</v>
      </c>
      <c r="N9" s="151" t="s">
        <v>191</v>
      </c>
      <c r="O9" s="151" t="s">
        <v>192</v>
      </c>
      <c r="P9" s="151"/>
      <c r="Q9" s="151"/>
      <c r="R9" s="151"/>
      <c r="S9" s="151"/>
      <c r="T9" s="152"/>
      <c r="U9" s="153"/>
      <c r="V9" s="127"/>
    </row>
    <row r="10" customFormat="false" ht="13.5" hidden="false" customHeight="true" outlineLevel="0" collapsed="false">
      <c r="A10" s="154" t="s">
        <v>130</v>
      </c>
      <c r="B10" s="155" t="s">
        <v>131</v>
      </c>
      <c r="C10" s="156"/>
      <c r="D10" s="157"/>
      <c r="E10" s="158"/>
      <c r="F10" s="159"/>
      <c r="G10" s="159"/>
      <c r="H10" s="159"/>
      <c r="I10" s="159"/>
      <c r="J10" s="159"/>
      <c r="K10" s="159"/>
      <c r="L10" s="159"/>
      <c r="M10" s="159"/>
      <c r="N10" s="159"/>
      <c r="O10" s="159"/>
      <c r="P10" s="159"/>
      <c r="Q10" s="159"/>
      <c r="R10" s="159"/>
      <c r="S10" s="159"/>
      <c r="T10" s="160"/>
    </row>
    <row r="11" customFormat="false" ht="13.5" hidden="false" customHeight="true" outlineLevel="0" collapsed="false">
      <c r="A11" s="161"/>
      <c r="B11" s="162"/>
      <c r="C11" s="163"/>
      <c r="D11" s="164" t="s">
        <v>132</v>
      </c>
      <c r="E11" s="165"/>
      <c r="F11" s="166"/>
      <c r="G11" s="166"/>
      <c r="H11" s="166"/>
      <c r="I11" s="166"/>
      <c r="J11" s="166"/>
      <c r="K11" s="166"/>
      <c r="L11" s="166"/>
      <c r="M11" s="166"/>
      <c r="N11" s="166"/>
      <c r="O11" s="166"/>
      <c r="P11" s="166"/>
      <c r="Q11" s="166"/>
      <c r="R11" s="166"/>
      <c r="S11" s="166"/>
      <c r="T11" s="167"/>
      <c r="V11" s="127"/>
    </row>
    <row r="12" customFormat="false" ht="13.5" hidden="false" customHeight="true" outlineLevel="0" collapsed="false">
      <c r="A12" s="161"/>
      <c r="B12" s="162" t="s">
        <v>193</v>
      </c>
      <c r="C12" s="163"/>
      <c r="D12" s="164"/>
      <c r="E12" s="165"/>
      <c r="F12" s="166"/>
      <c r="G12" s="166"/>
      <c r="H12" s="166"/>
      <c r="I12" s="166"/>
      <c r="J12" s="166"/>
      <c r="K12" s="166"/>
      <c r="L12" s="166"/>
      <c r="M12" s="166"/>
      <c r="N12" s="166"/>
      <c r="O12" s="166"/>
      <c r="P12" s="166"/>
      <c r="Q12" s="166"/>
      <c r="R12" s="166"/>
      <c r="S12" s="166"/>
      <c r="T12" s="167"/>
    </row>
    <row r="13" customFormat="false" ht="13.5" hidden="false" customHeight="true" outlineLevel="0" collapsed="false">
      <c r="A13" s="161"/>
      <c r="B13" s="162"/>
      <c r="C13" s="163"/>
      <c r="D13" s="164" t="n">
        <v>500</v>
      </c>
      <c r="E13" s="165"/>
      <c r="F13" s="166" t="s">
        <v>134</v>
      </c>
      <c r="G13" s="166"/>
      <c r="H13" s="166"/>
      <c r="I13" s="166"/>
      <c r="J13" s="166"/>
      <c r="K13" s="166"/>
      <c r="L13" s="166"/>
      <c r="M13" s="166"/>
      <c r="N13" s="166"/>
      <c r="O13" s="166"/>
      <c r="P13" s="166"/>
      <c r="Q13" s="166"/>
      <c r="R13" s="166"/>
      <c r="S13" s="166"/>
      <c r="T13" s="167"/>
    </row>
    <row r="14" customFormat="false" ht="13.5" hidden="false" customHeight="true" outlineLevel="0" collapsed="false">
      <c r="A14" s="161"/>
      <c r="B14" s="162"/>
      <c r="C14" s="163"/>
      <c r="D14" s="164" t="n">
        <v>999.99</v>
      </c>
      <c r="E14" s="165"/>
      <c r="F14" s="166"/>
      <c r="G14" s="166" t="s">
        <v>134</v>
      </c>
      <c r="H14" s="166"/>
      <c r="I14" s="166"/>
      <c r="J14" s="166"/>
      <c r="K14" s="166"/>
      <c r="L14" s="166"/>
      <c r="M14" s="166"/>
      <c r="N14" s="166"/>
      <c r="O14" s="166"/>
      <c r="P14" s="166"/>
      <c r="Q14" s="166"/>
      <c r="R14" s="166"/>
      <c r="S14" s="166"/>
      <c r="T14" s="167"/>
    </row>
    <row r="15" customFormat="false" ht="13.5" hidden="false" customHeight="true" outlineLevel="0" collapsed="false">
      <c r="A15" s="161"/>
      <c r="B15" s="162"/>
      <c r="C15" s="163"/>
      <c r="D15" s="164" t="n">
        <v>1000</v>
      </c>
      <c r="E15" s="165"/>
      <c r="F15" s="166"/>
      <c r="G15" s="166"/>
      <c r="H15" s="166" t="s">
        <v>134</v>
      </c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customFormat="false" ht="13.5" hidden="false" customHeight="true" outlineLevel="0" collapsed="false">
      <c r="A16" s="161"/>
      <c r="B16" s="162"/>
      <c r="C16" s="163"/>
      <c r="D16" s="164" t="n">
        <v>3000</v>
      </c>
      <c r="E16" s="165"/>
      <c r="F16" s="166"/>
      <c r="G16" s="166"/>
      <c r="H16" s="166"/>
      <c r="I16" s="166" t="s">
        <v>134</v>
      </c>
      <c r="J16" s="166"/>
      <c r="K16" s="166"/>
      <c r="L16" s="166"/>
      <c r="M16" s="166"/>
      <c r="N16" s="166"/>
      <c r="O16" s="166"/>
      <c r="P16" s="166"/>
      <c r="Q16" s="166"/>
      <c r="R16" s="166"/>
      <c r="S16" s="166"/>
      <c r="T16" s="167"/>
    </row>
    <row r="17" customFormat="false" ht="13.5" hidden="false" customHeight="true" outlineLevel="0" collapsed="false">
      <c r="A17" s="161"/>
      <c r="B17" s="162"/>
      <c r="C17" s="163"/>
      <c r="D17" s="164" t="n">
        <v>4999.99</v>
      </c>
      <c r="E17" s="165"/>
      <c r="F17" s="166"/>
      <c r="G17" s="166"/>
      <c r="H17" s="166"/>
      <c r="I17" s="166"/>
      <c r="J17" s="166" t="s">
        <v>134</v>
      </c>
      <c r="K17" s="166"/>
      <c r="L17" s="166"/>
      <c r="M17" s="166"/>
      <c r="N17" s="166"/>
      <c r="O17" s="166"/>
      <c r="P17" s="166"/>
      <c r="Q17" s="166"/>
      <c r="R17" s="166"/>
      <c r="S17" s="166"/>
      <c r="T17" s="167"/>
      <c r="U17" s="168"/>
    </row>
    <row r="18" customFormat="false" ht="13.5" hidden="false" customHeight="true" outlineLevel="0" collapsed="false">
      <c r="A18" s="161"/>
      <c r="B18" s="162"/>
      <c r="C18" s="163"/>
      <c r="D18" s="164" t="n">
        <v>5000</v>
      </c>
      <c r="E18" s="165"/>
      <c r="F18" s="166"/>
      <c r="G18" s="166"/>
      <c r="H18" s="166"/>
      <c r="I18" s="166"/>
      <c r="J18" s="166"/>
      <c r="K18" s="166" t="s">
        <v>134</v>
      </c>
      <c r="L18" s="166"/>
      <c r="M18" s="166"/>
      <c r="N18" s="166"/>
      <c r="O18" s="166"/>
      <c r="P18" s="166"/>
      <c r="Q18" s="166"/>
      <c r="R18" s="166"/>
      <c r="S18" s="166"/>
      <c r="T18" s="167"/>
      <c r="U18" s="168"/>
    </row>
    <row r="19" customFormat="false" ht="13.5" hidden="false" customHeight="true" outlineLevel="0" collapsed="false">
      <c r="A19" s="161"/>
      <c r="B19" s="162"/>
      <c r="C19" s="163"/>
      <c r="D19" s="164" t="n">
        <v>7500</v>
      </c>
      <c r="E19" s="165"/>
      <c r="F19" s="166"/>
      <c r="G19" s="166"/>
      <c r="H19" s="166"/>
      <c r="I19" s="166"/>
      <c r="J19" s="166"/>
      <c r="K19" s="166"/>
      <c r="L19" s="166" t="s">
        <v>134</v>
      </c>
      <c r="M19" s="166"/>
      <c r="N19" s="166"/>
      <c r="O19" s="166"/>
      <c r="P19" s="166"/>
      <c r="Q19" s="166"/>
      <c r="R19" s="166"/>
      <c r="S19" s="166"/>
      <c r="T19" s="167"/>
    </row>
    <row r="20" customFormat="false" ht="13.5" hidden="false" customHeight="true" outlineLevel="0" collapsed="false">
      <c r="A20" s="161"/>
      <c r="B20" s="162"/>
      <c r="C20" s="163"/>
      <c r="D20" s="164" t="n">
        <v>9999.99</v>
      </c>
      <c r="E20" s="165"/>
      <c r="F20" s="166"/>
      <c r="G20" s="166"/>
      <c r="H20" s="166"/>
      <c r="I20" s="166"/>
      <c r="J20" s="166"/>
      <c r="K20" s="166"/>
      <c r="L20" s="166"/>
      <c r="M20" s="166" t="s">
        <v>134</v>
      </c>
      <c r="N20" s="166"/>
      <c r="O20" s="166"/>
      <c r="P20" s="166"/>
      <c r="Q20" s="166"/>
      <c r="R20" s="166"/>
      <c r="S20" s="166"/>
      <c r="T20" s="167"/>
    </row>
    <row r="21" customFormat="false" ht="13.5" hidden="false" customHeight="true" outlineLevel="0" collapsed="false">
      <c r="A21" s="161"/>
      <c r="B21" s="162"/>
      <c r="C21" s="163"/>
      <c r="D21" s="164" t="n">
        <v>10000</v>
      </c>
      <c r="E21" s="165"/>
      <c r="F21" s="166"/>
      <c r="G21" s="166"/>
      <c r="H21" s="166"/>
      <c r="I21" s="166"/>
      <c r="J21" s="166"/>
      <c r="K21" s="166"/>
      <c r="L21" s="166"/>
      <c r="M21" s="166"/>
      <c r="N21" s="166" t="s">
        <v>134</v>
      </c>
      <c r="O21" s="166"/>
      <c r="P21" s="166"/>
      <c r="Q21" s="166"/>
      <c r="R21" s="166"/>
      <c r="S21" s="166"/>
      <c r="T21" s="167"/>
    </row>
    <row r="22" customFormat="false" ht="13.5" hidden="false" customHeight="true" outlineLevel="0" collapsed="false">
      <c r="A22" s="161"/>
      <c r="B22" s="162"/>
      <c r="C22" s="163"/>
      <c r="D22" s="164" t="n">
        <v>25000</v>
      </c>
      <c r="E22" s="165"/>
      <c r="F22" s="166"/>
      <c r="G22" s="166"/>
      <c r="H22" s="166"/>
      <c r="I22" s="166"/>
      <c r="J22" s="166"/>
      <c r="K22" s="166"/>
      <c r="L22" s="166"/>
      <c r="M22" s="166"/>
      <c r="N22" s="166"/>
      <c r="O22" s="166" t="s">
        <v>134</v>
      </c>
      <c r="P22" s="166"/>
      <c r="Q22" s="166"/>
      <c r="R22" s="166"/>
      <c r="S22" s="166"/>
      <c r="T22" s="167"/>
    </row>
    <row r="23" customFormat="false" ht="13.5" hidden="false" customHeight="true" outlineLevel="0" collapsed="false">
      <c r="A23" s="161" t="s">
        <v>138</v>
      </c>
      <c r="B23" s="162" t="s">
        <v>139</v>
      </c>
      <c r="C23" s="163"/>
      <c r="D23" s="164"/>
      <c r="E23" s="165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  <c r="Q23" s="166"/>
      <c r="R23" s="166"/>
      <c r="S23" s="166"/>
      <c r="T23" s="167"/>
    </row>
    <row r="24" customFormat="false" ht="13.5" hidden="false" customHeight="true" outlineLevel="0" collapsed="false">
      <c r="A24" s="161"/>
      <c r="B24" s="162"/>
      <c r="C24" s="163"/>
      <c r="D24" s="164" t="s">
        <v>194</v>
      </c>
      <c r="E24" s="165"/>
      <c r="F24" s="166" t="s">
        <v>134</v>
      </c>
      <c r="G24" s="166" t="s">
        <v>134</v>
      </c>
      <c r="H24" s="166"/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166"/>
      <c r="T24" s="167"/>
    </row>
    <row r="25" customFormat="false" ht="13.5" hidden="false" customHeight="true" outlineLevel="0" collapsed="false">
      <c r="A25" s="161"/>
      <c r="B25" s="162"/>
      <c r="C25" s="163"/>
      <c r="D25" s="164" t="s">
        <v>195</v>
      </c>
      <c r="E25" s="165"/>
      <c r="F25" s="166"/>
      <c r="G25" s="166"/>
      <c r="H25" s="166" t="s">
        <v>134</v>
      </c>
      <c r="I25" s="166" t="s">
        <v>134</v>
      </c>
      <c r="J25" s="166" t="s">
        <v>134</v>
      </c>
      <c r="K25" s="166"/>
      <c r="L25" s="166"/>
      <c r="M25" s="166"/>
      <c r="N25" s="166"/>
      <c r="O25" s="166"/>
      <c r="P25" s="166"/>
      <c r="Q25" s="166"/>
      <c r="R25" s="166"/>
      <c r="S25" s="166"/>
      <c r="T25" s="167"/>
    </row>
    <row r="26" customFormat="false" ht="13.5" hidden="false" customHeight="true" outlineLevel="0" collapsed="false">
      <c r="A26" s="161"/>
      <c r="B26" s="162"/>
      <c r="C26" s="163"/>
      <c r="D26" s="164" t="s">
        <v>196</v>
      </c>
      <c r="E26" s="165"/>
      <c r="F26" s="166"/>
      <c r="G26" s="166"/>
      <c r="H26" s="166"/>
      <c r="I26" s="166"/>
      <c r="J26" s="166"/>
      <c r="K26" s="166" t="s">
        <v>134</v>
      </c>
      <c r="L26" s="166" t="s">
        <v>134</v>
      </c>
      <c r="M26" s="166" t="s">
        <v>134</v>
      </c>
      <c r="N26" s="166"/>
      <c r="O26" s="166"/>
      <c r="P26" s="166"/>
      <c r="Q26" s="166"/>
      <c r="R26" s="166"/>
      <c r="S26" s="166"/>
      <c r="T26" s="167"/>
    </row>
    <row r="27" customFormat="false" ht="13.5" hidden="false" customHeight="true" outlineLevel="0" collapsed="false">
      <c r="A27" s="161"/>
      <c r="B27" s="162"/>
      <c r="C27" s="163"/>
      <c r="D27" s="164" t="s">
        <v>197</v>
      </c>
      <c r="E27" s="165"/>
      <c r="F27" s="166"/>
      <c r="G27" s="166"/>
      <c r="H27" s="166"/>
      <c r="I27" s="166"/>
      <c r="J27" s="166"/>
      <c r="K27" s="166"/>
      <c r="L27" s="166"/>
      <c r="M27" s="166"/>
      <c r="N27" s="166" t="s">
        <v>134</v>
      </c>
      <c r="O27" s="166" t="s">
        <v>134</v>
      </c>
      <c r="P27" s="166"/>
      <c r="Q27" s="166"/>
      <c r="R27" s="166"/>
      <c r="S27" s="166"/>
      <c r="T27" s="167"/>
    </row>
    <row r="28" customFormat="false" ht="13.5" hidden="false" customHeight="true" outlineLevel="0" collapsed="false">
      <c r="A28" s="161"/>
      <c r="B28" s="162" t="s">
        <v>140</v>
      </c>
      <c r="C28" s="163"/>
      <c r="D28" s="164"/>
      <c r="E28" s="165"/>
      <c r="F28" s="166"/>
      <c r="G28" s="166"/>
      <c r="H28" s="166"/>
      <c r="I28" s="166"/>
      <c r="J28" s="166"/>
      <c r="K28" s="166"/>
      <c r="L28" s="166"/>
      <c r="M28" s="166"/>
      <c r="N28" s="166"/>
      <c r="O28" s="166"/>
      <c r="P28" s="166"/>
      <c r="Q28" s="166"/>
      <c r="R28" s="166"/>
      <c r="S28" s="166"/>
      <c r="T28" s="167"/>
    </row>
    <row r="29" customFormat="false" ht="13.5" hidden="false" customHeight="true" outlineLevel="0" collapsed="false">
      <c r="A29" s="161"/>
      <c r="B29" s="162"/>
      <c r="C29" s="163"/>
      <c r="D29" s="164" t="s">
        <v>198</v>
      </c>
      <c r="E29" s="165"/>
      <c r="F29" s="166"/>
      <c r="G29" s="166"/>
      <c r="H29" s="166"/>
      <c r="I29" s="166"/>
      <c r="J29" s="166"/>
      <c r="K29" s="166"/>
      <c r="L29" s="166"/>
      <c r="M29" s="166"/>
      <c r="N29" s="166"/>
      <c r="O29" s="166"/>
      <c r="P29" s="166"/>
      <c r="Q29" s="166"/>
      <c r="R29" s="166"/>
      <c r="S29" s="166"/>
      <c r="T29" s="167"/>
    </row>
    <row r="30" customFormat="false" ht="13.5" hidden="false" customHeight="true" outlineLevel="0" collapsed="false">
      <c r="A30" s="161"/>
      <c r="B30" s="162" t="s">
        <v>142</v>
      </c>
      <c r="C30" s="163"/>
      <c r="D30" s="164"/>
      <c r="E30" s="165"/>
      <c r="F30" s="166"/>
      <c r="G30" s="166"/>
      <c r="H30" s="166"/>
      <c r="I30" s="166"/>
      <c r="J30" s="166"/>
      <c r="K30" s="166"/>
      <c r="L30" s="166"/>
      <c r="M30" s="166"/>
      <c r="N30" s="166"/>
      <c r="O30" s="166"/>
      <c r="P30" s="166"/>
      <c r="Q30" s="166"/>
      <c r="R30" s="166"/>
      <c r="S30" s="166"/>
      <c r="T30" s="167"/>
    </row>
    <row r="31" customFormat="false" ht="13.5" hidden="false" customHeight="true" outlineLevel="0" collapsed="false">
      <c r="A31" s="161"/>
      <c r="B31" s="162"/>
      <c r="C31" s="163"/>
      <c r="D31" s="164" t="s">
        <v>198</v>
      </c>
      <c r="E31" s="165"/>
      <c r="F31" s="166"/>
      <c r="G31" s="166"/>
      <c r="H31" s="166"/>
      <c r="I31" s="166"/>
      <c r="J31" s="166"/>
      <c r="K31" s="166"/>
      <c r="L31" s="166"/>
      <c r="M31" s="166"/>
      <c r="N31" s="166"/>
      <c r="O31" s="166"/>
      <c r="P31" s="166"/>
      <c r="Q31" s="166"/>
      <c r="R31" s="166"/>
      <c r="S31" s="166"/>
      <c r="T31" s="167"/>
    </row>
    <row r="32" customFormat="false" ht="13.5" hidden="false" customHeight="true" outlineLevel="0" collapsed="false">
      <c r="A32" s="161"/>
      <c r="B32" s="162"/>
      <c r="C32" s="163"/>
      <c r="D32" s="164"/>
      <c r="E32" s="165"/>
      <c r="F32" s="166"/>
      <c r="G32" s="166"/>
      <c r="H32" s="166"/>
      <c r="I32" s="166"/>
      <c r="J32" s="166"/>
      <c r="K32" s="166"/>
      <c r="L32" s="166"/>
      <c r="M32" s="166"/>
      <c r="N32" s="166"/>
      <c r="O32" s="166"/>
      <c r="P32" s="166"/>
      <c r="Q32" s="166"/>
      <c r="R32" s="166"/>
      <c r="S32" s="166"/>
      <c r="T32" s="167"/>
    </row>
    <row r="33" customFormat="false" ht="13.5" hidden="false" customHeight="true" outlineLevel="0" collapsed="false">
      <c r="A33" s="161"/>
      <c r="B33" s="162"/>
      <c r="C33" s="163"/>
      <c r="D33" s="164"/>
      <c r="E33" s="165"/>
      <c r="F33" s="166"/>
      <c r="G33" s="166"/>
      <c r="H33" s="166"/>
      <c r="I33" s="166"/>
      <c r="J33" s="166"/>
      <c r="K33" s="166"/>
      <c r="L33" s="166"/>
      <c r="M33" s="166"/>
      <c r="N33" s="166"/>
      <c r="O33" s="166"/>
      <c r="P33" s="166"/>
      <c r="Q33" s="166"/>
      <c r="R33" s="166"/>
      <c r="S33" s="166"/>
      <c r="T33" s="167"/>
    </row>
    <row r="34" customFormat="false" ht="13.5" hidden="false" customHeight="true" outlineLevel="0" collapsed="false">
      <c r="A34" s="161"/>
      <c r="B34" s="162"/>
      <c r="C34" s="163"/>
      <c r="D34" s="164"/>
      <c r="E34" s="165"/>
      <c r="F34" s="166"/>
      <c r="G34" s="166"/>
      <c r="H34" s="166"/>
      <c r="I34" s="166"/>
      <c r="J34" s="166"/>
      <c r="K34" s="166"/>
      <c r="L34" s="166"/>
      <c r="M34" s="166"/>
      <c r="N34" s="166"/>
      <c r="O34" s="166"/>
      <c r="P34" s="166"/>
      <c r="Q34" s="166"/>
      <c r="R34" s="166"/>
      <c r="S34" s="166"/>
      <c r="T34" s="167"/>
    </row>
    <row r="35" customFormat="false" ht="13.5" hidden="false" customHeight="true" outlineLevel="0" collapsed="false">
      <c r="A35" s="161"/>
      <c r="B35" s="162"/>
      <c r="C35" s="163"/>
      <c r="D35" s="164"/>
      <c r="E35" s="165"/>
      <c r="F35" s="166"/>
      <c r="G35" s="166"/>
      <c r="H35" s="166"/>
      <c r="I35" s="166"/>
      <c r="J35" s="166"/>
      <c r="K35" s="166"/>
      <c r="L35" s="166"/>
      <c r="M35" s="166"/>
      <c r="N35" s="166"/>
      <c r="O35" s="166"/>
      <c r="P35" s="166"/>
      <c r="Q35" s="166"/>
      <c r="R35" s="166"/>
      <c r="S35" s="166"/>
      <c r="T35" s="167"/>
    </row>
    <row r="36" customFormat="false" ht="13.5" hidden="false" customHeight="true" outlineLevel="0" collapsed="false">
      <c r="A36" s="161"/>
      <c r="B36" s="162"/>
      <c r="C36" s="163"/>
      <c r="D36" s="164"/>
      <c r="E36" s="165"/>
      <c r="F36" s="166"/>
      <c r="G36" s="166"/>
      <c r="H36" s="166"/>
      <c r="I36" s="166"/>
      <c r="J36" s="166"/>
      <c r="K36" s="166"/>
      <c r="L36" s="166"/>
      <c r="M36" s="166"/>
      <c r="N36" s="166"/>
      <c r="O36" s="166"/>
      <c r="P36" s="166"/>
      <c r="Q36" s="166"/>
      <c r="R36" s="166"/>
      <c r="S36" s="166"/>
      <c r="T36" s="167"/>
    </row>
    <row r="37" customFormat="false" ht="13.5" hidden="false" customHeight="true" outlineLevel="0" collapsed="false">
      <c r="A37" s="161"/>
      <c r="B37" s="162"/>
      <c r="C37" s="163"/>
      <c r="D37" s="164"/>
      <c r="E37" s="165"/>
      <c r="F37" s="166"/>
      <c r="G37" s="166"/>
      <c r="H37" s="166"/>
      <c r="I37" s="166"/>
      <c r="J37" s="166"/>
      <c r="K37" s="166"/>
      <c r="L37" s="166"/>
      <c r="M37" s="166"/>
      <c r="N37" s="166"/>
      <c r="O37" s="166"/>
      <c r="P37" s="166"/>
      <c r="Q37" s="166"/>
      <c r="R37" s="166"/>
      <c r="S37" s="166"/>
      <c r="T37" s="167"/>
    </row>
    <row r="38" customFormat="false" ht="13.5" hidden="false" customHeight="true" outlineLevel="0" collapsed="false">
      <c r="A38" s="161"/>
      <c r="B38" s="162"/>
      <c r="C38" s="163"/>
      <c r="D38" s="164"/>
      <c r="E38" s="165"/>
      <c r="F38" s="166"/>
      <c r="G38" s="166"/>
      <c r="H38" s="166"/>
      <c r="I38" s="166"/>
      <c r="J38" s="166"/>
      <c r="K38" s="166"/>
      <c r="L38" s="166"/>
      <c r="M38" s="166"/>
      <c r="N38" s="166"/>
      <c r="O38" s="166"/>
      <c r="P38" s="166"/>
      <c r="Q38" s="166"/>
      <c r="R38" s="166"/>
      <c r="S38" s="166"/>
      <c r="T38" s="167"/>
    </row>
    <row r="39" customFormat="false" ht="13.5" hidden="false" customHeight="true" outlineLevel="0" collapsed="false">
      <c r="A39" s="161"/>
      <c r="B39" s="162"/>
      <c r="C39" s="163"/>
      <c r="D39" s="164"/>
      <c r="E39" s="165"/>
      <c r="F39" s="166"/>
      <c r="G39" s="166"/>
      <c r="H39" s="166"/>
      <c r="I39" s="166"/>
      <c r="J39" s="166"/>
      <c r="K39" s="166"/>
      <c r="L39" s="166"/>
      <c r="M39" s="166"/>
      <c r="N39" s="166"/>
      <c r="O39" s="166"/>
      <c r="P39" s="166"/>
      <c r="Q39" s="166"/>
      <c r="R39" s="166"/>
      <c r="S39" s="166"/>
      <c r="T39" s="167"/>
    </row>
    <row r="40" customFormat="false" ht="13.5" hidden="false" customHeight="true" outlineLevel="0" collapsed="false">
      <c r="A40" s="161"/>
      <c r="B40" s="162"/>
      <c r="C40" s="163"/>
      <c r="D40" s="164"/>
      <c r="E40" s="165"/>
      <c r="F40" s="166"/>
      <c r="G40" s="166"/>
      <c r="H40" s="166"/>
      <c r="I40" s="166"/>
      <c r="J40" s="166"/>
      <c r="K40" s="166"/>
      <c r="L40" s="166"/>
      <c r="M40" s="166"/>
      <c r="N40" s="166"/>
      <c r="O40" s="166"/>
      <c r="P40" s="166"/>
      <c r="Q40" s="166"/>
      <c r="R40" s="166"/>
      <c r="S40" s="166"/>
      <c r="T40" s="167"/>
    </row>
    <row r="41" customFormat="false" ht="13.5" hidden="false" customHeight="true" outlineLevel="0" collapsed="false">
      <c r="A41" s="161"/>
      <c r="B41" s="162"/>
      <c r="C41" s="163"/>
      <c r="D41" s="164"/>
      <c r="E41" s="165"/>
      <c r="F41" s="166"/>
      <c r="G41" s="166"/>
      <c r="H41" s="166"/>
      <c r="I41" s="166"/>
      <c r="J41" s="166"/>
      <c r="K41" s="166"/>
      <c r="L41" s="166"/>
      <c r="M41" s="166"/>
      <c r="N41" s="166"/>
      <c r="O41" s="166"/>
      <c r="P41" s="166"/>
      <c r="Q41" s="166"/>
      <c r="R41" s="166"/>
      <c r="S41" s="166"/>
      <c r="T41" s="167"/>
    </row>
    <row r="42" customFormat="false" ht="79.5" hidden="false" customHeight="true" outlineLevel="0" collapsed="false">
      <c r="A42" s="161"/>
      <c r="B42" s="162"/>
      <c r="C42" s="163"/>
      <c r="D42" s="164"/>
      <c r="E42" s="165"/>
      <c r="F42" s="166"/>
      <c r="G42" s="166"/>
      <c r="H42" s="166"/>
      <c r="I42" s="166"/>
      <c r="J42" s="166"/>
      <c r="K42" s="166"/>
      <c r="L42" s="166"/>
      <c r="M42" s="166"/>
      <c r="N42" s="166"/>
      <c r="O42" s="166"/>
      <c r="P42" s="166"/>
      <c r="Q42" s="166"/>
      <c r="R42" s="166"/>
      <c r="S42" s="166"/>
      <c r="T42" s="167"/>
    </row>
    <row r="43" customFormat="false" ht="12" hidden="false" customHeight="true" outlineLevel="0" collapsed="false">
      <c r="A43" s="161"/>
      <c r="B43" s="162"/>
      <c r="C43" s="163"/>
      <c r="D43" s="164"/>
      <c r="E43" s="165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7"/>
    </row>
    <row r="44" customFormat="false" ht="15" hidden="false" customHeight="false" outlineLevel="0" collapsed="false">
      <c r="A44" s="161"/>
      <c r="B44" s="162"/>
      <c r="C44" s="163"/>
      <c r="D44" s="164"/>
      <c r="E44" s="165"/>
      <c r="F44" s="166"/>
      <c r="G44" s="166"/>
      <c r="H44" s="166"/>
      <c r="I44" s="166"/>
      <c r="J44" s="166"/>
      <c r="K44" s="166"/>
      <c r="L44" s="166"/>
      <c r="M44" s="166"/>
      <c r="N44" s="166"/>
      <c r="O44" s="166"/>
      <c r="P44" s="166"/>
      <c r="Q44" s="166"/>
      <c r="R44" s="166"/>
      <c r="S44" s="166"/>
      <c r="T44" s="167"/>
    </row>
    <row r="45" customFormat="false" ht="15" hidden="false" customHeight="false" outlineLevel="0" collapsed="false">
      <c r="A45" s="161"/>
      <c r="B45" s="162"/>
      <c r="C45" s="163"/>
      <c r="D45" s="164"/>
      <c r="E45" s="165"/>
      <c r="F45" s="166"/>
      <c r="G45" s="166"/>
      <c r="H45" s="166"/>
      <c r="I45" s="166"/>
      <c r="J45" s="166"/>
      <c r="K45" s="166"/>
      <c r="L45" s="166"/>
      <c r="M45" s="166"/>
      <c r="N45" s="166"/>
      <c r="O45" s="166"/>
      <c r="P45" s="166"/>
      <c r="Q45" s="166"/>
      <c r="R45" s="166"/>
      <c r="S45" s="166"/>
      <c r="T45" s="167"/>
    </row>
    <row r="46" customFormat="false" ht="15" hidden="false" customHeight="false" outlineLevel="0" collapsed="false">
      <c r="A46" s="161"/>
      <c r="B46" s="162"/>
      <c r="C46" s="163"/>
      <c r="D46" s="164"/>
      <c r="E46" s="165"/>
      <c r="F46" s="166"/>
      <c r="G46" s="166"/>
      <c r="H46" s="166"/>
      <c r="I46" s="166"/>
      <c r="J46" s="166"/>
      <c r="K46" s="166"/>
      <c r="L46" s="166"/>
      <c r="M46" s="166"/>
      <c r="N46" s="166"/>
      <c r="O46" s="166"/>
      <c r="P46" s="166"/>
      <c r="Q46" s="166"/>
      <c r="R46" s="166"/>
      <c r="S46" s="166"/>
      <c r="T46" s="167"/>
    </row>
    <row r="47" customFormat="false" ht="13.5" hidden="false" customHeight="false" outlineLevel="0" collapsed="false">
      <c r="A47" s="169" t="s">
        <v>144</v>
      </c>
      <c r="B47" s="170" t="s">
        <v>145</v>
      </c>
      <c r="C47" s="170"/>
      <c r="D47" s="170"/>
      <c r="E47" s="170"/>
      <c r="F47" s="171" t="s">
        <v>108</v>
      </c>
      <c r="G47" s="171" t="s">
        <v>109</v>
      </c>
      <c r="H47" s="171" t="s">
        <v>109</v>
      </c>
      <c r="I47" s="171" t="s">
        <v>108</v>
      </c>
      <c r="J47" s="171" t="s">
        <v>109</v>
      </c>
      <c r="K47" s="171" t="s">
        <v>109</v>
      </c>
      <c r="L47" s="171" t="s">
        <v>108</v>
      </c>
      <c r="M47" s="171" t="s">
        <v>109</v>
      </c>
      <c r="N47" s="171" t="s">
        <v>109</v>
      </c>
      <c r="O47" s="171" t="s">
        <v>108</v>
      </c>
      <c r="P47" s="171"/>
      <c r="Q47" s="171"/>
      <c r="R47" s="171"/>
      <c r="S47" s="171"/>
      <c r="T47" s="172"/>
    </row>
    <row r="48" customFormat="false" ht="13.5" hidden="false" customHeight="false" outlineLevel="0" collapsed="false">
      <c r="A48" s="173"/>
      <c r="B48" s="174" t="s">
        <v>146</v>
      </c>
      <c r="C48" s="174"/>
      <c r="D48" s="174"/>
      <c r="E48" s="175"/>
      <c r="F48" s="176" t="s">
        <v>147</v>
      </c>
      <c r="G48" s="176" t="s">
        <v>147</v>
      </c>
      <c r="H48" s="176" t="s">
        <v>147</v>
      </c>
      <c r="I48" s="176" t="s">
        <v>147</v>
      </c>
      <c r="J48" s="176" t="s">
        <v>147</v>
      </c>
      <c r="K48" s="176" t="s">
        <v>147</v>
      </c>
      <c r="L48" s="176" t="s">
        <v>147</v>
      </c>
      <c r="M48" s="176" t="s">
        <v>147</v>
      </c>
      <c r="N48" s="176" t="s">
        <v>147</v>
      </c>
      <c r="O48" s="176" t="s">
        <v>147</v>
      </c>
      <c r="P48" s="176"/>
      <c r="Q48" s="176"/>
      <c r="R48" s="176"/>
      <c r="S48" s="176"/>
      <c r="T48" s="177"/>
    </row>
    <row r="49" customFormat="false" ht="98.5" hidden="false" customHeight="false" outlineLevel="0" collapsed="false">
      <c r="A49" s="173"/>
      <c r="B49" s="178" t="s">
        <v>148</v>
      </c>
      <c r="C49" s="178"/>
      <c r="D49" s="178"/>
      <c r="E49" s="179"/>
      <c r="F49" s="180" t="n">
        <v>46300</v>
      </c>
      <c r="G49" s="180" t="n">
        <v>46300</v>
      </c>
      <c r="H49" s="180" t="n">
        <v>46300</v>
      </c>
      <c r="I49" s="180" t="n">
        <v>46300</v>
      </c>
      <c r="J49" s="180" t="n">
        <v>46300</v>
      </c>
      <c r="K49" s="180" t="n">
        <v>46300</v>
      </c>
      <c r="L49" s="180" t="n">
        <v>46300</v>
      </c>
      <c r="M49" s="180" t="n">
        <v>46300</v>
      </c>
      <c r="N49" s="180" t="n">
        <v>46300</v>
      </c>
      <c r="O49" s="180" t="n">
        <v>46300</v>
      </c>
      <c r="P49" s="181"/>
      <c r="Q49" s="181"/>
      <c r="R49" s="181"/>
      <c r="S49" s="181"/>
      <c r="T49" s="182"/>
    </row>
    <row r="50" customFormat="false" ht="30.55" hidden="false" customHeight="false" outlineLevel="0" collapsed="false">
      <c r="A50" s="183"/>
      <c r="B50" s="184" t="s">
        <v>149</v>
      </c>
      <c r="C50" s="184"/>
      <c r="D50" s="184"/>
      <c r="E50" s="185"/>
      <c r="F50" s="186"/>
      <c r="G50" s="186"/>
      <c r="H50" s="186"/>
      <c r="I50" s="186"/>
      <c r="J50" s="186"/>
      <c r="K50" s="186"/>
      <c r="L50" s="186"/>
      <c r="M50" s="186"/>
      <c r="N50" s="186" t="s">
        <v>199</v>
      </c>
      <c r="O50" s="186"/>
      <c r="P50" s="186"/>
      <c r="Q50" s="186"/>
      <c r="R50" s="186"/>
      <c r="S50" s="186"/>
      <c r="T50" s="187"/>
    </row>
    <row r="51" customFormat="false" ht="13.5" hidden="false" customHeight="false" outlineLevel="0" collapsed="false">
      <c r="A51" s="188"/>
    </row>
  </sheetData>
  <mergeCells count="27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47:D47"/>
    <mergeCell ref="B48:D48"/>
    <mergeCell ref="B49:D49"/>
    <mergeCell ref="B50:D50"/>
  </mergeCells>
  <printOptions headings="false" gridLines="false" gridLinesSet="true" horizontalCentered="false" verticalCentered="false"/>
  <pageMargins left="0.75" right="0.75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49"/>
  <sheetViews>
    <sheetView showFormulas="false" showGridLines="true" showRowColHeaders="true" showZeros="true" rightToLeft="false" tabSelected="false" showOutlineSymbols="true" defaultGridColor="true" view="normal" topLeftCell="A25" colorId="64" zoomScale="100" zoomScaleNormal="100" zoomScalePageLayoutView="100" workbookViewId="0">
      <selection pane="topLeft" activeCell="F9" activeCellId="0" sqref="F9"/>
    </sheetView>
  </sheetViews>
  <sheetFormatPr defaultColWidth="8.99609375" defaultRowHeight="13.5" zeroHeight="false" outlineLevelRow="0" outlineLevelCol="0"/>
  <cols>
    <col collapsed="false" customWidth="true" hidden="false" outlineLevel="0" max="1" min="1" style="118" width="8.16"/>
    <col collapsed="false" customWidth="true" hidden="false" outlineLevel="0" max="2" min="2" style="119" width="13.32"/>
    <col collapsed="false" customWidth="true" hidden="false" outlineLevel="0" max="3" min="3" style="118" width="10.82"/>
    <col collapsed="false" customWidth="true" hidden="false" outlineLevel="0" max="4" min="4" style="120" width="11.32"/>
    <col collapsed="false" customWidth="true" hidden="true" outlineLevel="0" max="5" min="5" style="118" width="1.82"/>
    <col collapsed="false" customWidth="true" hidden="false" outlineLevel="0" max="21" min="6" style="118" width="2.82"/>
    <col collapsed="false" customWidth="false" hidden="false" outlineLevel="0" max="257" min="22" style="118" width="8.99"/>
  </cols>
  <sheetData>
    <row r="1" customFormat="false" ht="13.5" hidden="false" customHeight="true" outlineLevel="0" collapsed="false">
      <c r="A1" s="121"/>
      <c r="B1" s="122"/>
    </row>
    <row r="2" customFormat="false" ht="13.5" hidden="false" customHeight="true" outlineLevel="0" collapsed="false">
      <c r="A2" s="123" t="s">
        <v>118</v>
      </c>
      <c r="B2" s="123"/>
      <c r="C2" s="124" t="str">
        <f aca="false">Functions!E11</f>
        <v>Function1</v>
      </c>
      <c r="D2" s="124"/>
      <c r="E2" s="124"/>
      <c r="F2" s="125" t="s">
        <v>73</v>
      </c>
      <c r="G2" s="125"/>
      <c r="H2" s="125"/>
      <c r="I2" s="125"/>
      <c r="J2" s="125"/>
      <c r="K2" s="125"/>
      <c r="L2" s="126" t="str">
        <f aca="false">Functions!D11</f>
        <v>calculateSubtotal(Product p)</v>
      </c>
      <c r="M2" s="126"/>
      <c r="N2" s="126"/>
      <c r="O2" s="126"/>
      <c r="P2" s="126"/>
      <c r="Q2" s="126"/>
      <c r="R2" s="126"/>
      <c r="S2" s="126"/>
      <c r="T2" s="126"/>
      <c r="V2" s="127"/>
    </row>
    <row r="3" customFormat="false" ht="13.5" hidden="false" customHeight="true" outlineLevel="0" collapsed="false">
      <c r="A3" s="128" t="s">
        <v>119</v>
      </c>
      <c r="B3" s="128"/>
      <c r="C3" s="129" t="s">
        <v>200</v>
      </c>
      <c r="D3" s="129"/>
      <c r="E3" s="129"/>
      <c r="F3" s="130" t="s">
        <v>120</v>
      </c>
      <c r="G3" s="130"/>
      <c r="H3" s="130"/>
      <c r="I3" s="130"/>
      <c r="J3" s="130"/>
      <c r="K3" s="130"/>
      <c r="L3" s="131"/>
      <c r="M3" s="131"/>
      <c r="N3" s="131"/>
      <c r="O3" s="132"/>
      <c r="P3" s="132"/>
      <c r="Q3" s="132"/>
      <c r="R3" s="132"/>
      <c r="S3" s="132"/>
      <c r="T3" s="133"/>
    </row>
    <row r="4" customFormat="false" ht="13.5" hidden="false" customHeight="true" outlineLevel="0" collapsed="false">
      <c r="A4" s="128" t="s">
        <v>121</v>
      </c>
      <c r="B4" s="128"/>
      <c r="C4" s="134" t="n">
        <v>100</v>
      </c>
      <c r="D4" s="134"/>
      <c r="E4" s="135"/>
      <c r="F4" s="130" t="s">
        <v>122</v>
      </c>
      <c r="G4" s="130"/>
      <c r="H4" s="130"/>
      <c r="I4" s="130"/>
      <c r="J4" s="130"/>
      <c r="K4" s="130"/>
      <c r="L4" s="136" t="n">
        <f aca="false">IF(Functions!E6&lt;&gt;"N/A",SUM(C4*Functions!E6/1000,-O7),"N/A")</f>
        <v>-5</v>
      </c>
      <c r="M4" s="136"/>
      <c r="N4" s="136"/>
      <c r="O4" s="136"/>
      <c r="P4" s="136"/>
      <c r="Q4" s="136"/>
      <c r="R4" s="136"/>
      <c r="S4" s="136"/>
      <c r="T4" s="136"/>
      <c r="V4" s="127"/>
    </row>
    <row r="5" customFormat="false" ht="13.5" hidden="false" customHeight="true" outlineLevel="0" collapsed="false">
      <c r="A5" s="128" t="s">
        <v>123</v>
      </c>
      <c r="B5" s="128"/>
      <c r="C5" s="137" t="s">
        <v>201</v>
      </c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</row>
    <row r="6" customFormat="false" ht="13.5" hidden="false" customHeight="true" outlineLevel="0" collapsed="false">
      <c r="A6" s="138" t="s">
        <v>105</v>
      </c>
      <c r="B6" s="138"/>
      <c r="C6" s="139" t="s">
        <v>106</v>
      </c>
      <c r="D6" s="139"/>
      <c r="E6" s="139"/>
      <c r="F6" s="139" t="s">
        <v>107</v>
      </c>
      <c r="G6" s="139"/>
      <c r="H6" s="139"/>
      <c r="I6" s="139"/>
      <c r="J6" s="139"/>
      <c r="K6" s="139"/>
      <c r="L6" s="140" t="s">
        <v>124</v>
      </c>
      <c r="M6" s="140"/>
      <c r="N6" s="140"/>
      <c r="O6" s="141" t="s">
        <v>110</v>
      </c>
      <c r="P6" s="141"/>
      <c r="Q6" s="141"/>
      <c r="R6" s="141"/>
      <c r="S6" s="141"/>
      <c r="T6" s="141"/>
      <c r="V6" s="127"/>
    </row>
    <row r="7" customFormat="false" ht="13.5" hidden="false" customHeight="true" outlineLevel="0" collapsed="false">
      <c r="A7" s="142" t="n">
        <f aca="false">COUNTIF(F47:HQ47,"P")</f>
        <v>0</v>
      </c>
      <c r="B7" s="142"/>
      <c r="C7" s="143" t="n">
        <f aca="false">COUNTIF(F47:HQ47,"F")</f>
        <v>0</v>
      </c>
      <c r="D7" s="143"/>
      <c r="E7" s="143"/>
      <c r="F7" s="143" t="n">
        <f aca="false">SUM(O7,-A7,-C7)</f>
        <v>15</v>
      </c>
      <c r="G7" s="143"/>
      <c r="H7" s="143"/>
      <c r="I7" s="143"/>
      <c r="J7" s="143"/>
      <c r="K7" s="143"/>
      <c r="L7" s="144" t="n">
        <f aca="false">COUNTIF(E46:HQ46,"N")</f>
        <v>0</v>
      </c>
      <c r="M7" s="144" t="n">
        <f aca="false">COUNTIF(E46:HQ46,"A")</f>
        <v>0</v>
      </c>
      <c r="N7" s="144" t="n">
        <f aca="false">COUNTIF(E46:HQ46,"B")</f>
        <v>0</v>
      </c>
      <c r="O7" s="145" t="n">
        <f aca="false">COUNTA(E9:HT9)</f>
        <v>15</v>
      </c>
      <c r="P7" s="145"/>
      <c r="Q7" s="145"/>
      <c r="R7" s="145"/>
      <c r="S7" s="145"/>
      <c r="T7" s="145"/>
      <c r="U7" s="146"/>
    </row>
    <row r="8" customFormat="false" ht="12" hidden="false" customHeight="true" outlineLevel="0" collapsed="false"/>
    <row r="9" customFormat="false" ht="45" hidden="false" customHeight="true" outlineLevel="0" collapsed="false">
      <c r="A9" s="196"/>
      <c r="B9" s="210"/>
      <c r="C9" s="211"/>
      <c r="D9" s="212"/>
      <c r="E9" s="211"/>
      <c r="F9" s="213" t="s">
        <v>202</v>
      </c>
      <c r="G9" s="213" t="s">
        <v>203</v>
      </c>
      <c r="H9" s="213" t="s">
        <v>203</v>
      </c>
      <c r="I9" s="213" t="s">
        <v>203</v>
      </c>
      <c r="J9" s="213" t="s">
        <v>203</v>
      </c>
      <c r="K9" s="213" t="s">
        <v>203</v>
      </c>
      <c r="L9" s="213" t="s">
        <v>204</v>
      </c>
      <c r="M9" s="213" t="s">
        <v>205</v>
      </c>
      <c r="N9" s="213" t="s">
        <v>206</v>
      </c>
      <c r="O9" s="213" t="s">
        <v>207</v>
      </c>
      <c r="P9" s="213" t="s">
        <v>208</v>
      </c>
      <c r="Q9" s="213" t="s">
        <v>209</v>
      </c>
      <c r="R9" s="213" t="s">
        <v>210</v>
      </c>
      <c r="S9" s="213" t="s">
        <v>211</v>
      </c>
      <c r="T9" s="214" t="s">
        <v>212</v>
      </c>
      <c r="U9" s="153"/>
      <c r="V9" s="127"/>
    </row>
    <row r="10" customFormat="false" ht="13.5" hidden="false" customHeight="true" outlineLevel="0" collapsed="false">
      <c r="A10" s="154" t="s">
        <v>130</v>
      </c>
      <c r="B10" s="162" t="s">
        <v>213</v>
      </c>
      <c r="C10" s="163"/>
      <c r="D10" s="164"/>
      <c r="E10" s="202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4"/>
    </row>
    <row r="11" customFormat="false" ht="13.5" hidden="false" customHeight="true" outlineLevel="0" collapsed="false">
      <c r="A11" s="161"/>
      <c r="B11" s="162"/>
      <c r="C11" s="163"/>
      <c r="D11" s="164"/>
      <c r="E11" s="158"/>
      <c r="F11" s="203"/>
      <c r="G11" s="203"/>
      <c r="H11" s="203"/>
      <c r="I11" s="203"/>
      <c r="J11" s="203"/>
      <c r="K11" s="203"/>
      <c r="L11" s="203"/>
      <c r="M11" s="203"/>
      <c r="N11" s="203"/>
      <c r="O11" s="203"/>
      <c r="P11" s="203"/>
      <c r="Q11" s="203"/>
      <c r="R11" s="203"/>
      <c r="S11" s="203"/>
      <c r="T11" s="204"/>
      <c r="V11" s="127"/>
    </row>
    <row r="12" customFormat="false" ht="13.5" hidden="false" customHeight="true" outlineLevel="0" collapsed="false">
      <c r="A12" s="161"/>
      <c r="B12" s="162"/>
      <c r="C12" s="163"/>
      <c r="D12" s="164"/>
      <c r="E12" s="158"/>
      <c r="F12" s="203"/>
      <c r="G12" s="203"/>
      <c r="H12" s="203"/>
      <c r="I12" s="203"/>
      <c r="J12" s="203"/>
      <c r="K12" s="203"/>
      <c r="L12" s="203"/>
      <c r="M12" s="203"/>
      <c r="N12" s="203"/>
      <c r="O12" s="203"/>
      <c r="P12" s="203"/>
      <c r="Q12" s="203"/>
      <c r="R12" s="203"/>
      <c r="S12" s="203"/>
      <c r="T12" s="204"/>
    </row>
    <row r="13" customFormat="false" ht="13.5" hidden="false" customHeight="true" outlineLevel="0" collapsed="false">
      <c r="A13" s="161"/>
      <c r="B13" s="162"/>
      <c r="C13" s="163"/>
      <c r="D13" s="164"/>
      <c r="E13" s="217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4"/>
    </row>
    <row r="14" customFormat="false" ht="13.5" hidden="false" customHeight="true" outlineLevel="0" collapsed="false">
      <c r="A14" s="161"/>
      <c r="B14" s="162" t="s">
        <v>214</v>
      </c>
      <c r="C14" s="163"/>
      <c r="D14" s="164"/>
      <c r="E14" s="165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4"/>
    </row>
    <row r="15" customFormat="false" ht="13.5" hidden="false" customHeight="true" outlineLevel="0" collapsed="false">
      <c r="A15" s="161"/>
      <c r="B15" s="162"/>
      <c r="C15" s="163"/>
      <c r="D15" s="164" t="n">
        <v>-2</v>
      </c>
      <c r="E15" s="165"/>
      <c r="F15" s="203" t="s">
        <v>134</v>
      </c>
      <c r="G15" s="203"/>
      <c r="H15" s="203"/>
      <c r="I15" s="203"/>
      <c r="J15" s="203"/>
      <c r="K15" s="203"/>
      <c r="L15" s="203"/>
      <c r="M15" s="203"/>
      <c r="N15" s="203"/>
      <c r="O15" s="203"/>
      <c r="P15" s="203"/>
      <c r="Q15" s="203"/>
      <c r="R15" s="203"/>
      <c r="S15" s="203"/>
      <c r="T15" s="204"/>
    </row>
    <row r="16" customFormat="false" ht="13.5" hidden="false" customHeight="true" outlineLevel="0" collapsed="false">
      <c r="A16" s="161"/>
      <c r="B16" s="162"/>
      <c r="C16" s="163"/>
      <c r="D16" s="164" t="n">
        <v>-1</v>
      </c>
      <c r="E16" s="165"/>
      <c r="F16" s="203"/>
      <c r="G16" s="203"/>
      <c r="H16" s="203"/>
      <c r="I16" s="203"/>
      <c r="J16" s="203"/>
      <c r="K16" s="203"/>
      <c r="L16" s="203" t="s">
        <v>134</v>
      </c>
      <c r="M16" s="203"/>
      <c r="N16" s="203"/>
      <c r="O16" s="203"/>
      <c r="P16" s="203"/>
      <c r="Q16" s="203"/>
      <c r="R16" s="203"/>
      <c r="S16" s="203"/>
      <c r="T16" s="204"/>
    </row>
    <row r="17" customFormat="false" ht="13.5" hidden="false" customHeight="true" outlineLevel="0" collapsed="false">
      <c r="A17" s="161"/>
      <c r="B17" s="162"/>
      <c r="C17" s="163"/>
      <c r="D17" s="164" t="n">
        <v>0</v>
      </c>
      <c r="E17" s="165"/>
      <c r="F17" s="203"/>
      <c r="G17" s="203" t="s">
        <v>134</v>
      </c>
      <c r="H17" s="203" t="s">
        <v>134</v>
      </c>
      <c r="I17" s="203" t="s">
        <v>134</v>
      </c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4"/>
      <c r="U17" s="205"/>
    </row>
    <row r="18" customFormat="false" ht="13.5" hidden="false" customHeight="true" outlineLevel="0" collapsed="false">
      <c r="A18" s="161"/>
      <c r="B18" s="162"/>
      <c r="C18" s="163"/>
      <c r="D18" s="164" t="n">
        <v>1</v>
      </c>
      <c r="E18" s="165"/>
      <c r="F18" s="203"/>
      <c r="G18" s="203"/>
      <c r="H18" s="203"/>
      <c r="I18" s="203"/>
      <c r="J18" s="203" t="s">
        <v>134</v>
      </c>
      <c r="K18" s="203" t="s">
        <v>134</v>
      </c>
      <c r="L18" s="203"/>
      <c r="M18" s="203"/>
      <c r="N18" s="203"/>
      <c r="O18" s="203"/>
      <c r="P18" s="203"/>
      <c r="Q18" s="203"/>
      <c r="R18" s="203"/>
      <c r="S18" s="203"/>
      <c r="T18" s="204"/>
      <c r="U18" s="205"/>
    </row>
    <row r="19" customFormat="false" ht="13.5" hidden="false" customHeight="true" outlineLevel="0" collapsed="false">
      <c r="A19" s="161"/>
      <c r="B19" s="162" t="s">
        <v>215</v>
      </c>
      <c r="C19" s="163"/>
      <c r="D19" s="164"/>
      <c r="E19" s="165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4"/>
      <c r="U19" s="205"/>
    </row>
    <row r="20" customFormat="false" ht="13.5" hidden="false" customHeight="true" outlineLevel="0" collapsed="false">
      <c r="A20" s="161"/>
      <c r="B20" s="162"/>
      <c r="C20" s="163"/>
      <c r="D20" s="218" t="n">
        <v>0</v>
      </c>
      <c r="E20" s="218"/>
      <c r="F20" s="203"/>
      <c r="G20" s="203" t="s">
        <v>134</v>
      </c>
      <c r="H20" s="203" t="s">
        <v>134</v>
      </c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4"/>
    </row>
    <row r="21" customFormat="false" ht="13.5" hidden="false" customHeight="true" outlineLevel="0" collapsed="false">
      <c r="A21" s="161"/>
      <c r="B21" s="162"/>
      <c r="C21" s="163"/>
      <c r="D21" s="164" t="n">
        <v>-2</v>
      </c>
      <c r="E21" s="165"/>
      <c r="F21" s="203"/>
      <c r="G21" s="203"/>
      <c r="H21" s="203"/>
      <c r="I21" s="203"/>
      <c r="J21" s="203" t="s">
        <v>134</v>
      </c>
      <c r="K21" s="203" t="s">
        <v>134</v>
      </c>
      <c r="L21" s="203" t="s">
        <v>134</v>
      </c>
      <c r="M21" s="203"/>
      <c r="N21" s="203"/>
      <c r="O21" s="203"/>
      <c r="P21" s="203"/>
      <c r="Q21" s="203"/>
      <c r="R21" s="203"/>
      <c r="S21" s="203"/>
      <c r="T21" s="204"/>
    </row>
    <row r="22" customFormat="false" ht="13.5" hidden="false" customHeight="true" outlineLevel="0" collapsed="false">
      <c r="A22" s="161"/>
      <c r="B22" s="162"/>
      <c r="C22" s="163"/>
      <c r="D22" s="164" t="n">
        <v>2</v>
      </c>
      <c r="E22" s="165"/>
      <c r="F22" s="203"/>
      <c r="G22" s="203"/>
      <c r="H22" s="203"/>
      <c r="I22" s="203" t="s">
        <v>134</v>
      </c>
      <c r="J22" s="203"/>
      <c r="K22" s="203"/>
      <c r="L22" s="203"/>
      <c r="M22" s="203"/>
      <c r="N22" s="203"/>
      <c r="O22" s="203"/>
      <c r="P22" s="203"/>
      <c r="Q22" s="203"/>
      <c r="R22" s="203"/>
      <c r="S22" s="203"/>
      <c r="T22" s="204"/>
    </row>
    <row r="23" customFormat="false" ht="13.5" hidden="false" customHeight="true" outlineLevel="0" collapsed="false">
      <c r="A23" s="161"/>
      <c r="B23" s="162" t="s">
        <v>216</v>
      </c>
      <c r="C23" s="163"/>
      <c r="D23" s="164"/>
      <c r="E23" s="165"/>
      <c r="F23" s="203"/>
      <c r="G23" s="203"/>
      <c r="H23" s="203"/>
      <c r="I23" s="203"/>
      <c r="J23" s="203"/>
      <c r="K23" s="203"/>
      <c r="L23" s="203"/>
      <c r="M23" s="203"/>
      <c r="N23" s="203"/>
      <c r="O23" s="203"/>
      <c r="P23" s="203"/>
      <c r="Q23" s="203"/>
      <c r="R23" s="203"/>
      <c r="S23" s="203"/>
      <c r="T23" s="204"/>
    </row>
    <row r="24" customFormat="false" ht="13.5" hidden="false" customHeight="true" outlineLevel="0" collapsed="false">
      <c r="A24" s="161"/>
      <c r="B24" s="162"/>
      <c r="C24" s="163"/>
      <c r="D24" s="164" t="n">
        <v>0</v>
      </c>
      <c r="E24" s="165"/>
      <c r="F24" s="203"/>
      <c r="G24" s="203" t="s">
        <v>134</v>
      </c>
      <c r="H24" s="203"/>
      <c r="I24" s="203"/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4"/>
    </row>
    <row r="25" customFormat="false" ht="13.5" hidden="false" customHeight="true" outlineLevel="0" collapsed="false">
      <c r="A25" s="161"/>
      <c r="B25" s="162"/>
      <c r="C25" s="163"/>
      <c r="D25" s="164" t="n">
        <v>1</v>
      </c>
      <c r="E25" s="165"/>
      <c r="F25" s="203"/>
      <c r="G25" s="203"/>
      <c r="H25" s="203" t="s">
        <v>134</v>
      </c>
      <c r="I25" s="203" t="s">
        <v>134</v>
      </c>
      <c r="J25" s="203" t="s">
        <v>134</v>
      </c>
      <c r="K25" s="203"/>
      <c r="L25" s="203"/>
      <c r="M25" s="203"/>
      <c r="N25" s="203"/>
      <c r="O25" s="203"/>
      <c r="P25" s="203"/>
      <c r="Q25" s="203"/>
      <c r="R25" s="203"/>
      <c r="S25" s="203"/>
      <c r="T25" s="204"/>
    </row>
    <row r="26" customFormat="false" ht="13.5" hidden="false" customHeight="true" outlineLevel="0" collapsed="false">
      <c r="A26" s="161"/>
      <c r="B26" s="162"/>
      <c r="C26" s="163"/>
      <c r="D26" s="164" t="n">
        <v>3</v>
      </c>
      <c r="E26" s="165"/>
      <c r="F26" s="203"/>
      <c r="G26" s="203"/>
      <c r="H26" s="203"/>
      <c r="I26" s="203"/>
      <c r="J26" s="203"/>
      <c r="K26" s="203"/>
      <c r="L26" s="203" t="s">
        <v>134</v>
      </c>
      <c r="M26" s="203"/>
      <c r="N26" s="203"/>
      <c r="O26" s="203"/>
      <c r="P26" s="203"/>
      <c r="Q26" s="203"/>
      <c r="R26" s="203"/>
      <c r="S26" s="203"/>
      <c r="T26" s="204"/>
    </row>
    <row r="27" customFormat="false" ht="13.5" hidden="false" customHeight="true" outlineLevel="0" collapsed="false">
      <c r="A27" s="161"/>
      <c r="B27" s="162"/>
      <c r="C27" s="163"/>
      <c r="D27" s="164" t="n">
        <v>5</v>
      </c>
      <c r="E27" s="165"/>
      <c r="F27" s="203"/>
      <c r="G27" s="203"/>
      <c r="H27" s="203"/>
      <c r="I27" s="203"/>
      <c r="J27" s="203"/>
      <c r="K27" s="203" t="s">
        <v>134</v>
      </c>
      <c r="L27" s="203"/>
      <c r="M27" s="203"/>
      <c r="N27" s="203"/>
      <c r="O27" s="203"/>
      <c r="P27" s="203"/>
      <c r="Q27" s="203"/>
      <c r="R27" s="203"/>
      <c r="S27" s="203"/>
      <c r="T27" s="204"/>
    </row>
    <row r="28" customFormat="false" ht="13.5" hidden="false" customHeight="true" outlineLevel="0" collapsed="false">
      <c r="A28" s="161"/>
      <c r="B28" s="162"/>
      <c r="C28" s="163"/>
      <c r="D28" s="164"/>
      <c r="E28" s="165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4"/>
    </row>
    <row r="29" customFormat="false" ht="13.5" hidden="false" customHeight="true" outlineLevel="0" collapsed="false">
      <c r="A29" s="161"/>
      <c r="B29" s="162"/>
      <c r="C29" s="163"/>
      <c r="D29" s="164"/>
      <c r="E29" s="165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3"/>
      <c r="Q29" s="203"/>
      <c r="R29" s="203"/>
      <c r="S29" s="203"/>
      <c r="T29" s="204"/>
    </row>
    <row r="30" customFormat="false" ht="13.5" hidden="false" customHeight="true" outlineLevel="0" collapsed="false">
      <c r="A30" s="161"/>
      <c r="B30" s="162"/>
      <c r="C30" s="163"/>
      <c r="D30" s="164"/>
      <c r="E30" s="165"/>
      <c r="F30" s="203"/>
      <c r="G30" s="203"/>
      <c r="H30" s="203"/>
      <c r="I30" s="203"/>
      <c r="J30" s="203"/>
      <c r="K30" s="203"/>
      <c r="L30" s="203"/>
      <c r="M30" s="203"/>
      <c r="N30" s="203"/>
      <c r="O30" s="203"/>
      <c r="P30" s="203"/>
      <c r="Q30" s="203"/>
      <c r="R30" s="203"/>
      <c r="S30" s="203"/>
      <c r="T30" s="204"/>
    </row>
    <row r="31" customFormat="false" ht="13.5" hidden="false" customHeight="true" outlineLevel="0" collapsed="false">
      <c r="A31" s="161"/>
      <c r="B31" s="162"/>
      <c r="C31" s="163"/>
      <c r="D31" s="164"/>
      <c r="E31" s="165"/>
      <c r="F31" s="203"/>
      <c r="G31" s="203"/>
      <c r="H31" s="203"/>
      <c r="I31" s="203"/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4"/>
    </row>
    <row r="32" customFormat="false" ht="13.5" hidden="false" customHeight="true" outlineLevel="0" collapsed="false">
      <c r="A32" s="161"/>
      <c r="B32" s="219"/>
      <c r="C32" s="220"/>
      <c r="D32" s="221"/>
      <c r="E32" s="222"/>
      <c r="F32" s="223"/>
      <c r="G32" s="223"/>
      <c r="H32" s="223"/>
      <c r="I32" s="223"/>
      <c r="J32" s="223"/>
      <c r="K32" s="223"/>
      <c r="L32" s="223"/>
      <c r="M32" s="223"/>
      <c r="N32" s="223"/>
      <c r="O32" s="223"/>
      <c r="P32" s="223"/>
      <c r="Q32" s="223"/>
      <c r="R32" s="223"/>
      <c r="S32" s="223"/>
      <c r="T32" s="224"/>
    </row>
    <row r="33" customFormat="false" ht="13.5" hidden="false" customHeight="true" outlineLevel="0" collapsed="false">
      <c r="A33" s="169" t="s">
        <v>138</v>
      </c>
      <c r="B33" s="225" t="s">
        <v>139</v>
      </c>
      <c r="C33" s="226"/>
      <c r="D33" s="227"/>
      <c r="E33" s="228"/>
      <c r="F33" s="229"/>
      <c r="G33" s="229"/>
      <c r="H33" s="229"/>
      <c r="I33" s="229"/>
      <c r="J33" s="229"/>
      <c r="K33" s="229"/>
      <c r="L33" s="229"/>
      <c r="M33" s="229"/>
      <c r="N33" s="229"/>
      <c r="O33" s="229"/>
      <c r="P33" s="229"/>
      <c r="Q33" s="229"/>
      <c r="R33" s="229"/>
      <c r="S33" s="229"/>
      <c r="T33" s="230"/>
    </row>
    <row r="34" customFormat="false" ht="13.5" hidden="false" customHeight="true" outlineLevel="0" collapsed="false">
      <c r="A34" s="173"/>
      <c r="B34" s="231" t="s">
        <v>217</v>
      </c>
      <c r="C34" s="232"/>
      <c r="D34" s="233"/>
      <c r="E34" s="234"/>
      <c r="F34" s="203"/>
      <c r="G34" s="203"/>
      <c r="H34" s="203"/>
      <c r="I34" s="203"/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4"/>
    </row>
    <row r="35" customFormat="false" ht="13.5" hidden="false" customHeight="true" outlineLevel="0" collapsed="false">
      <c r="A35" s="173"/>
      <c r="B35" s="231"/>
      <c r="C35" s="232"/>
      <c r="D35" s="233" t="s">
        <v>137</v>
      </c>
      <c r="E35" s="234"/>
      <c r="F35" s="203" t="s">
        <v>134</v>
      </c>
      <c r="G35" s="203"/>
      <c r="H35" s="203" t="s">
        <v>134</v>
      </c>
      <c r="I35" s="203"/>
      <c r="J35" s="203"/>
      <c r="K35" s="203" t="s">
        <v>134</v>
      </c>
      <c r="L35" s="203"/>
      <c r="M35" s="203"/>
      <c r="N35" s="203"/>
      <c r="O35" s="203"/>
      <c r="P35" s="203"/>
      <c r="Q35" s="203"/>
      <c r="R35" s="203"/>
      <c r="S35" s="203"/>
      <c r="T35" s="204"/>
    </row>
    <row r="36" customFormat="false" ht="13.5" hidden="false" customHeight="true" outlineLevel="0" collapsed="false">
      <c r="A36" s="173"/>
      <c r="B36" s="231"/>
      <c r="C36" s="232"/>
      <c r="D36" s="233" t="s">
        <v>218</v>
      </c>
      <c r="E36" s="234"/>
      <c r="F36" s="203"/>
      <c r="G36" s="203" t="s">
        <v>134</v>
      </c>
      <c r="H36" s="203"/>
      <c r="I36" s="203"/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4"/>
    </row>
    <row r="37" customFormat="false" ht="13.5" hidden="false" customHeight="true" outlineLevel="0" collapsed="false">
      <c r="A37" s="173"/>
      <c r="B37" s="231"/>
      <c r="C37" s="232"/>
      <c r="D37" s="233" t="s">
        <v>219</v>
      </c>
      <c r="E37" s="234"/>
      <c r="F37" s="203"/>
      <c r="G37" s="203"/>
      <c r="H37" s="203"/>
      <c r="I37" s="203" t="s">
        <v>134</v>
      </c>
      <c r="J37" s="203"/>
      <c r="K37" s="203"/>
      <c r="L37" s="203"/>
      <c r="M37" s="203"/>
      <c r="N37" s="203"/>
      <c r="O37" s="203"/>
      <c r="P37" s="203"/>
      <c r="Q37" s="203"/>
      <c r="R37" s="203"/>
      <c r="S37" s="203"/>
      <c r="T37" s="204"/>
    </row>
    <row r="38" customFormat="false" ht="13.5" hidden="false" customHeight="true" outlineLevel="0" collapsed="false">
      <c r="A38" s="173"/>
      <c r="B38" s="231"/>
      <c r="C38" s="232"/>
      <c r="D38" s="233" t="s">
        <v>220</v>
      </c>
      <c r="E38" s="234"/>
      <c r="F38" s="203"/>
      <c r="G38" s="203"/>
      <c r="H38" s="203"/>
      <c r="I38" s="203"/>
      <c r="J38" s="203" t="s">
        <v>134</v>
      </c>
      <c r="K38" s="203"/>
      <c r="L38" s="203"/>
      <c r="M38" s="203"/>
      <c r="N38" s="203"/>
      <c r="O38" s="203"/>
      <c r="P38" s="203"/>
      <c r="Q38" s="203"/>
      <c r="R38" s="203"/>
      <c r="S38" s="203"/>
      <c r="T38" s="204"/>
    </row>
    <row r="39" customFormat="false" ht="13.5" hidden="false" customHeight="true" outlineLevel="0" collapsed="false">
      <c r="A39" s="173"/>
      <c r="B39" s="235"/>
      <c r="C39" s="236"/>
      <c r="D39" s="233" t="s">
        <v>221</v>
      </c>
      <c r="E39" s="237"/>
      <c r="F39" s="203"/>
      <c r="G39" s="203"/>
      <c r="H39" s="203"/>
      <c r="I39" s="203"/>
      <c r="J39" s="203"/>
      <c r="K39" s="203"/>
      <c r="L39" s="203" t="s">
        <v>134</v>
      </c>
      <c r="M39" s="203"/>
      <c r="N39" s="203"/>
      <c r="O39" s="203"/>
      <c r="P39" s="203"/>
      <c r="Q39" s="203"/>
      <c r="R39" s="203"/>
      <c r="S39" s="203"/>
      <c r="T39" s="204"/>
    </row>
    <row r="40" customFormat="false" ht="13.5" hidden="false" customHeight="true" outlineLevel="0" collapsed="false">
      <c r="A40" s="173"/>
      <c r="B40" s="235" t="s">
        <v>140</v>
      </c>
      <c r="C40" s="236"/>
      <c r="D40" s="233"/>
      <c r="E40" s="237"/>
      <c r="F40" s="203"/>
      <c r="G40" s="203"/>
      <c r="H40" s="203"/>
      <c r="I40" s="203"/>
      <c r="J40" s="203"/>
      <c r="K40" s="203"/>
      <c r="L40" s="203"/>
      <c r="M40" s="203"/>
      <c r="N40" s="203"/>
      <c r="O40" s="203"/>
      <c r="P40" s="203"/>
      <c r="Q40" s="203"/>
      <c r="R40" s="203"/>
      <c r="S40" s="203"/>
      <c r="T40" s="204"/>
    </row>
    <row r="41" customFormat="false" ht="13.5" hidden="false" customHeight="true" outlineLevel="0" collapsed="false">
      <c r="A41" s="173"/>
      <c r="B41" s="235"/>
      <c r="C41" s="236"/>
      <c r="D41" s="233"/>
      <c r="E41" s="237"/>
      <c r="F41" s="203"/>
      <c r="G41" s="203"/>
      <c r="H41" s="203"/>
      <c r="I41" s="203"/>
      <c r="J41" s="203"/>
      <c r="K41" s="203"/>
      <c r="L41" s="203"/>
      <c r="M41" s="203"/>
      <c r="N41" s="203"/>
      <c r="O41" s="203"/>
      <c r="P41" s="203"/>
      <c r="Q41" s="203"/>
      <c r="R41" s="203"/>
      <c r="S41" s="203"/>
      <c r="T41" s="204"/>
    </row>
    <row r="42" customFormat="false" ht="13.5" hidden="false" customHeight="true" outlineLevel="0" collapsed="false">
      <c r="A42" s="173"/>
      <c r="B42" s="235" t="s">
        <v>142</v>
      </c>
      <c r="C42" s="236"/>
      <c r="D42" s="233"/>
      <c r="E42" s="237"/>
      <c r="F42" s="203"/>
      <c r="G42" s="203"/>
      <c r="H42" s="203"/>
      <c r="I42" s="203"/>
      <c r="J42" s="203"/>
      <c r="K42" s="203"/>
      <c r="L42" s="203"/>
      <c r="M42" s="203"/>
      <c r="N42" s="203"/>
      <c r="O42" s="203"/>
      <c r="P42" s="203"/>
      <c r="Q42" s="203"/>
      <c r="R42" s="203"/>
      <c r="S42" s="203"/>
      <c r="T42" s="204"/>
    </row>
    <row r="43" customFormat="false" ht="13.5" hidden="false" customHeight="true" outlineLevel="0" collapsed="false">
      <c r="A43" s="173"/>
      <c r="B43" s="235"/>
      <c r="C43" s="236"/>
      <c r="D43" s="233" t="s">
        <v>222</v>
      </c>
      <c r="E43" s="237"/>
      <c r="F43" s="203" t="s">
        <v>134</v>
      </c>
      <c r="G43" s="203"/>
      <c r="H43" s="203"/>
      <c r="I43" s="203"/>
      <c r="J43" s="203"/>
      <c r="K43" s="203"/>
      <c r="L43" s="203"/>
      <c r="M43" s="203"/>
      <c r="N43" s="203"/>
      <c r="O43" s="203"/>
      <c r="P43" s="203"/>
      <c r="Q43" s="203"/>
      <c r="R43" s="203"/>
      <c r="S43" s="203"/>
      <c r="T43" s="204"/>
    </row>
    <row r="44" customFormat="false" ht="13.5" hidden="false" customHeight="true" outlineLevel="0" collapsed="false">
      <c r="A44" s="173"/>
      <c r="B44" s="238"/>
      <c r="C44" s="239"/>
      <c r="D44" s="240"/>
      <c r="E44" s="241"/>
      <c r="F44" s="242"/>
      <c r="G44" s="242"/>
      <c r="H44" s="242"/>
      <c r="I44" s="242"/>
      <c r="J44" s="242"/>
      <c r="K44" s="242"/>
      <c r="L44" s="242"/>
      <c r="M44" s="242"/>
      <c r="N44" s="242"/>
      <c r="O44" s="242"/>
      <c r="P44" s="242"/>
      <c r="Q44" s="242"/>
      <c r="R44" s="242"/>
      <c r="S44" s="242"/>
      <c r="T44" s="243"/>
    </row>
    <row r="45" customFormat="false" ht="13.5" hidden="false" customHeight="true" outlineLevel="0" collapsed="false">
      <c r="A45" s="169" t="s">
        <v>144</v>
      </c>
      <c r="B45" s="170" t="s">
        <v>145</v>
      </c>
      <c r="C45" s="170"/>
      <c r="D45" s="170"/>
      <c r="E45" s="170"/>
      <c r="F45" s="206" t="s">
        <v>63</v>
      </c>
      <c r="G45" s="206" t="s">
        <v>108</v>
      </c>
      <c r="H45" s="206" t="s">
        <v>108</v>
      </c>
      <c r="I45" s="206" t="s">
        <v>108</v>
      </c>
      <c r="J45" s="206" t="s">
        <v>108</v>
      </c>
      <c r="K45" s="206" t="s">
        <v>108</v>
      </c>
      <c r="L45" s="206" t="s">
        <v>109</v>
      </c>
      <c r="M45" s="206"/>
      <c r="N45" s="206"/>
      <c r="O45" s="206"/>
      <c r="P45" s="206"/>
      <c r="Q45" s="206"/>
      <c r="R45" s="206"/>
      <c r="S45" s="206"/>
      <c r="T45" s="207"/>
    </row>
    <row r="46" customFormat="false" ht="13.5" hidden="false" customHeight="true" outlineLevel="0" collapsed="false">
      <c r="A46" s="215"/>
      <c r="B46" s="174" t="s">
        <v>146</v>
      </c>
      <c r="C46" s="174"/>
      <c r="D46" s="174"/>
      <c r="E46" s="175"/>
      <c r="F46" s="208"/>
      <c r="G46" s="208"/>
      <c r="H46" s="208"/>
      <c r="I46" s="208"/>
      <c r="J46" s="208"/>
      <c r="K46" s="208"/>
      <c r="L46" s="208"/>
      <c r="M46" s="208"/>
      <c r="N46" s="208"/>
      <c r="O46" s="208"/>
      <c r="P46" s="208"/>
      <c r="Q46" s="208"/>
      <c r="R46" s="208"/>
      <c r="S46" s="208"/>
      <c r="T46" s="209"/>
    </row>
    <row r="47" customFormat="false" ht="13.5" hidden="false" customHeight="true" outlineLevel="0" collapsed="false">
      <c r="A47" s="215"/>
      <c r="B47" s="178" t="s">
        <v>148</v>
      </c>
      <c r="C47" s="178"/>
      <c r="D47" s="178"/>
      <c r="E47" s="179"/>
      <c r="F47" s="181" t="n">
        <v>39139</v>
      </c>
      <c r="G47" s="181" t="n">
        <v>39139</v>
      </c>
      <c r="H47" s="181" t="n">
        <v>39139</v>
      </c>
      <c r="I47" s="181" t="n">
        <v>39139</v>
      </c>
      <c r="J47" s="181" t="n">
        <v>39139</v>
      </c>
      <c r="K47" s="181" t="n">
        <v>39139</v>
      </c>
      <c r="L47" s="181" t="n">
        <v>39144</v>
      </c>
      <c r="M47" s="181"/>
      <c r="N47" s="181"/>
      <c r="O47" s="181"/>
      <c r="P47" s="181"/>
      <c r="Q47" s="181"/>
      <c r="R47" s="181"/>
      <c r="S47" s="181"/>
      <c r="T47" s="182"/>
    </row>
    <row r="48" customFormat="false" ht="12" hidden="false" customHeight="true" outlineLevel="0" collapsed="false">
      <c r="A48" s="216"/>
      <c r="B48" s="184" t="s">
        <v>223</v>
      </c>
      <c r="C48" s="184"/>
      <c r="D48" s="184"/>
      <c r="E48" s="185"/>
      <c r="F48" s="186"/>
      <c r="G48" s="186"/>
      <c r="H48" s="186"/>
      <c r="I48" s="186"/>
      <c r="J48" s="186"/>
      <c r="K48" s="186"/>
      <c r="L48" s="186"/>
      <c r="M48" s="186"/>
      <c r="N48" s="186"/>
      <c r="O48" s="186"/>
      <c r="P48" s="186"/>
      <c r="Q48" s="186"/>
      <c r="R48" s="186"/>
      <c r="S48" s="186"/>
      <c r="T48" s="187"/>
    </row>
    <row r="49" customFormat="false" ht="12" hidden="false" customHeight="true" outlineLevel="0" collapsed="false">
      <c r="A49" s="119"/>
      <c r="B49" s="118"/>
      <c r="C49" s="120"/>
      <c r="D49" s="118"/>
    </row>
  </sheetData>
  <mergeCells count="28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D20:E20"/>
    <mergeCell ref="B45:D45"/>
    <mergeCell ref="B46:D46"/>
    <mergeCell ref="B47:D47"/>
    <mergeCell ref="B48:D48"/>
  </mergeCells>
  <dataValidations count="3">
    <dataValidation allowBlank="true" errorStyle="stop" operator="between" showDropDown="false" showErrorMessage="true" showInputMessage="false" sqref="F46:T46" type="list">
      <formula1>"P,F,"</formula1>
      <formula2>0</formula2>
    </dataValidation>
    <dataValidation allowBlank="true" errorStyle="stop" operator="between" showDropDown="false" showErrorMessage="true" showInputMessage="false" sqref="F45:T45" type="list">
      <formula1>"N,A,B,"</formula1>
      <formula2>0</formula2>
    </dataValidation>
    <dataValidation allowBlank="true" errorStyle="stop" operator="between" showDropDown="false" showErrorMessage="true" showInputMessage="false" sqref="F10:T44" type="list">
      <formula1>"O,"</formula1>
      <formula2>0</formula2>
    </dataValidation>
  </dataValidations>
  <printOptions headings="false" gridLines="false" gridLinesSet="true" horizontalCentered="false" verticalCentered="false"/>
  <pageMargins left="0.75" right="0.75" top="0.75" bottom="0.75" header="0.511811023622047" footer="0.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&amp;L&amp;"Tahoma,Regular"&amp;10 02ae-BM/PM/HDCV/FSOFT v2/1&amp;C&amp;"Tahoma,Regular"&amp;10 Internal use&amp;R&amp;"Tahoma,Regular"&amp;10 &amp;P/&amp;N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2007-10-09T09:39:48Z</dcterms:created>
  <dc:creator>Nguyen Hoang Anh</dc:creator>
  <dc:description/>
  <dc:language>en-US</dc:language>
  <cp:lastModifiedBy/>
  <cp:lastPrinted>2008-03-12T04:05:49Z</cp:lastPrinted>
  <dcterms:modified xsi:type="dcterms:W3CDTF">2026-10-05T06:39:23Z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